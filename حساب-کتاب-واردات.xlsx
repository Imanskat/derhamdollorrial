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رز و هزینه‌ها" sheetId="1" state="visible" r:id="rId3"/>
    <sheet name="کالاها" sheetId="2" state="visible" r:id="rId4"/>
    <sheet name="راهنما"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<sst xmlns="http://schemas.openxmlformats.org/spreadsheetml/2006/main" count="90" uniqueCount="80">
  <si>
    <t xml:space="preserve">حساب‌کتاب واردات — ارز و هزینه‌ها</t>
  </si>
  <si>
    <t xml:space="preserve">فقط خانه‌های زرد را پر کنید. بقیه خودکار حساب می‌شوند.</t>
  </si>
  <si>
    <t xml:space="preserve">۱ — ارز</t>
  </si>
  <si>
    <t xml:space="preserve">قیمت دلار (تومان)</t>
  </si>
  <si>
    <t xml:space="preserve">نرخ بازار آزاد امروز. تنها نرخی که باید دستی وارد کنید.</t>
  </si>
  <si>
    <t xml:space="preserve">قیمت بقیه ارزها از روی دلار حساب می‌شود:</t>
  </si>
  <si>
    <t xml:space="preserve">ارز</t>
  </si>
  <si>
    <t xml:space="preserve">واحد به ازای ۱ دلار</t>
  </si>
  <si>
    <t xml:space="preserve">قیمت هر واحد (تومان)</t>
  </si>
  <si>
    <t xml:space="preserve">دلار</t>
  </si>
  <si>
    <t xml:space="preserve">درهم</t>
  </si>
  <si>
    <t xml:space="preserve">یوان</t>
  </si>
  <si>
    <t xml:space="preserve">یورو</t>
  </si>
  <si>
    <t xml:space="preserve">لیر</t>
  </si>
  <si>
    <t xml:space="preserve">پوند</t>
  </si>
  <si>
    <t xml:space="preserve">روبل</t>
  </si>
  <si>
    <t xml:space="preserve">تومان</t>
  </si>
  <si>
    <t xml:space="preserve">برای هزینه‌هایی که به تومان پرداخت شده‌اند.</t>
  </si>
  <si>
    <t xml:space="preserve">۲ — هزینه آوردن جنس تا ایران</t>
  </si>
  <si>
    <t xml:space="preserve">این مبالغ مال کل محموله است، نه هر کالا.</t>
  </si>
  <si>
    <t xml:space="preserve">هزینه</t>
  </si>
  <si>
    <t xml:space="preserve">مبلغ</t>
  </si>
  <si>
    <t xml:space="preserve">کرایه حمل تا ایران</t>
  </si>
  <si>
    <t xml:space="preserve">دریایی، زمینی یا هوایی — مبلغ کل</t>
  </si>
  <si>
    <t xml:space="preserve">ترخیص و گمرک</t>
  </si>
  <si>
    <t xml:space="preserve">هرچه بابت گمرک و ترخیص‌کار دادید، یک‌جا</t>
  </si>
  <si>
    <t xml:space="preserve">سایر هزینه‌ها</t>
  </si>
  <si>
    <t xml:space="preserve">انبار، حمل داخلی، بسته‌بندی، مجوز</t>
  </si>
  <si>
    <t xml:space="preserve">تقسیم هزینه بین کالاها بر اساس</t>
  </si>
  <si>
    <t xml:space="preserve">قیمت کالا</t>
  </si>
  <si>
    <t xml:space="preserve">«قیمت کالا» یا «وزن کالا» — از فهرست انتخاب کنید.</t>
  </si>
  <si>
    <t xml:space="preserve">سود دلخواه (٪)</t>
  </si>
  <si>
    <t xml:space="preserve">مبنای ستون «قیمت پیشنهادی» در شیت کالاها.</t>
  </si>
  <si>
    <t xml:space="preserve">راهنمای رنگ‌ها</t>
  </si>
  <si>
    <t xml:space="preserve">زرد = شما پر می‌کنید.</t>
  </si>
  <si>
    <t xml:space="preserve">خاکستری = فرمول؛ دست نزنید.</t>
  </si>
  <si>
    <t xml:space="preserve">قیمت دلار را از صرافی بگیرید. نرخ رسمی یا نیما را وارد نکنید — بهای تمام‌شده چند برابر کمتر از واقعیت درمی‌آید.</t>
  </si>
  <si>
    <t xml:space="preserve">کالاها</t>
  </si>
  <si>
    <t xml:space="preserve">ستون‌های زرد (A تا F) را پر کنید؛ بقیه خودکار حساب می‌شوند.</t>
  </si>
  <si>
    <t xml:space="preserve">نام کالا</t>
  </si>
  <si>
    <t xml:space="preserve">ارز خرید</t>
  </si>
  <si>
    <t xml:space="preserve">قیمت خرید
هر عدد</t>
  </si>
  <si>
    <t xml:space="preserve">تعداد</t>
  </si>
  <si>
    <t xml:space="preserve">وزن کل
(کیلوگرم)</t>
  </si>
  <si>
    <t xml:space="preserve">قیمت فروش
هر عدد (تومان)</t>
  </si>
  <si>
    <t xml:space="preserve">قیمت ارز
(تومان)</t>
  </si>
  <si>
    <t xml:space="preserve">ارزش خرید
(تومان)</t>
  </si>
  <si>
    <t xml:space="preserve">سهم از هزینه‌ها</t>
  </si>
  <si>
    <t xml:space="preserve">کرایه حمل
(تومان)</t>
  </si>
  <si>
    <t xml:space="preserve">ترخیص و گمرک
(تومان)</t>
  </si>
  <si>
    <t xml:space="preserve">سایر
(تومان)</t>
  </si>
  <si>
    <t xml:space="preserve">بهای تمام‌شده کل
(تومان)</t>
  </si>
  <si>
    <t xml:space="preserve">بهای تمام‌شده
هر عدد</t>
  </si>
  <si>
    <t xml:space="preserve">سود هر عدد
(تومان)</t>
  </si>
  <si>
    <t xml:space="preserve">درصد سود</t>
  </si>
  <si>
    <t xml:space="preserve">سود کل
(تومان)</t>
  </si>
  <si>
    <t xml:space="preserve">کمترین قیمت
بدون ضرر</t>
  </si>
  <si>
    <t xml:space="preserve">قیمت پیشنهادی</t>
  </si>
  <si>
    <t xml:space="preserve">کرم پودر</t>
  </si>
  <si>
    <t xml:space="preserve">رژ لب</t>
  </si>
  <si>
    <t xml:space="preserve">پالت سایه</t>
  </si>
  <si>
    <t xml:space="preserve">سرم ویتامین ث</t>
  </si>
  <si>
    <t xml:space="preserve">ریمل</t>
  </si>
  <si>
    <t xml:space="preserve">جمع</t>
  </si>
  <si>
    <t xml:space="preserve">«کمترین قیمت بدون ضرر» همان بهای تمام‌شده هر عدد است — پایین‌تر از آن یعنی ضرر.</t>
  </si>
  <si>
    <t xml:space="preserve">«قیمت پیشنهادی» قیمتی است که سود دلخواه شیت اول را می‌دهد.</t>
  </si>
  <si>
    <t xml:space="preserve">راهنما</t>
  </si>
  <si>
    <t xml:space="preserve">۱ — قیمت دلار</t>
  </si>
  <si>
    <t xml:space="preserve">در شیت «ارز و هزینه‌ها» خانه B5 را با نرخ بازار آزاد امروز پر کنید. قیمت درهم، یوان، یورو و بقیه ارزها خودشان از روی همین حساب می‌شوند، چون نسبتشان با دلار تقریباً ثابت است.</t>
  </si>
  <si>
    <t xml:space="preserve">۲ — هزینه آوردن</t>
  </si>
  <si>
    <t xml:space="preserve">کرایه حمل، ترخیص و گمرک، و سایر هزینه‌ها را وارد کنید. هرکدام را می‌توانید به ارز خودش بنویسید. این مبالغ مال کل محموله است و ابزار خودش بین کالاها تقسیم می‌کند.</t>
  </si>
  <si>
    <t xml:space="preserve">۳ — کالاها</t>
  </si>
  <si>
    <t xml:space="preserve">در شیت «کالاها» ستون‌های A تا F را پر کنید: نام، ارز خرید، قیمت هر عدد، تعداد، وزن کل، قیمت فروش. تا ۲۵ کالا آماده است و ردیف‌های خالی نادیده گرفته می‌شوند.</t>
  </si>
  <si>
    <t xml:space="preserve">بهای تمام‌شده یعنی چه</t>
  </si>
  <si>
    <t xml:space="preserve">قیمت خرید + سهم این کالا از کرایه حمل + سهم از ترخیص و گمرک + سهم از سایر هزینه‌ها. یعنی هر عدد از این کالا تا وقتی در انبار شما در ایران باشد، چند تمام شده.</t>
  </si>
  <si>
    <t xml:space="preserve">تقسیم هزینه‌ها</t>
  </si>
  <si>
    <t xml:space="preserve">هزینه‌های کل محموله باید بین کالاها پخش شود. با «قیمت کالا» جنس گران‌تر سهم بیشتری می‌گیرد، با «وزن کالا» جنس سنگین‌تر. اگر بیشتر هزینه‌تان کرایه است وزن را انتخاب کنید، اگر گمرک است قیمت را.</t>
  </si>
  <si>
    <t xml:space="preserve">سود دلخواه را در شیت اول بگذارید؛ این ستون می‌گوید برای رسیدن به آن سود، هر عدد را چند بفروشید.</t>
  </si>
  <si>
    <t xml:space="preserve">هشدار</t>
  </si>
  <si>
    <t xml:space="preserve">همه اعداد پیش‌فرض نمونه‌اند. قیمت دلار را از صرافی و هزینه ترخیص را از ترخیص‌کار خودتان بگیرید. نرخ رسمی یا نیما را وارد نکنید.</t>
  </si>
</sst>
</file>

<file path=xl/styles.xml><?xml version="1.0" encoding="utf-8"?>
<styleSheet xmlns="http://schemas.openxmlformats.org/spreadsheetml/2006/main">
  <numFmts count="6">
    <numFmt numFmtId="164" formatCode="General"/>
    <numFmt numFmtId="165" formatCode="#,##0;\(#,##0\);\-"/>
    <numFmt numFmtId="166" formatCode="#,##0.0000"/>
    <numFmt numFmtId="167" formatCode="0.0%;\(0.0%\);\-"/>
    <numFmt numFmtId="168" formatCode="#,##0.00;\(#,##0.00\);\-"/>
    <numFmt numFmtId="169" formatCode="#,##0.0;\(#,##0.0\);\-"/>
  </numFmts>
  <fonts count="11">
    <font>
      <sz val="11"/>
      <color theme="1"/>
      <name val="Calibri"/>
      <family val="2"/>
      <charset val="1"/>
    </font>
    <font>
      <sz val="10"/>
      <name val="Arial"/>
      <family val="0"/>
    </font>
    <font>
      <sz val="10"/>
      <name val="Arial"/>
      <family val="0"/>
    </font>
    <font>
      <sz val="10"/>
      <name val="Arial"/>
      <family val="0"/>
    </font>
    <font>
      <b val="true"/>
      <sz val="14"/>
      <name val="Tahoma"/>
      <family val="0"/>
      <charset val="1"/>
    </font>
    <font>
      <sz val="8.5"/>
      <color rgb="FF595959"/>
      <name val="Tahoma"/>
      <family val="0"/>
      <charset val="1"/>
    </font>
    <font>
      <b val="true"/>
      <sz val="11"/>
      <color rgb="FF1F3864"/>
      <name val="Tahoma"/>
      <family val="0"/>
      <charset val="1"/>
    </font>
    <font>
      <b val="true"/>
      <sz val="10"/>
      <name val="Tahoma"/>
      <family val="0"/>
      <charset val="1"/>
    </font>
    <font>
      <sz val="10"/>
      <color rgb="FF0000FF"/>
      <name val="Tahoma"/>
      <family val="0"/>
      <charset val="1"/>
    </font>
    <font>
      <b val="true"/>
      <sz val="9"/>
      <color rgb="FFFFFFFF"/>
      <name val="Tahoma"/>
      <family val="0"/>
      <charset val="1"/>
    </font>
    <font>
      <sz val="10"/>
      <name val="Tahoma"/>
      <family val="0"/>
      <charset val="1"/>
    </font>
  </fonts>
  <fills count="6">
    <fill>
      <patternFill patternType="none"/>
    </fill>
    <fill>
      <patternFill patternType="gray125"/>
    </fill>
    <fill>
      <patternFill patternType="solid">
        <fgColor rgb="FFFFF2A8"/>
        <bgColor rgb="FFE2EFDA"/>
      </patternFill>
    </fill>
    <fill>
      <patternFill patternType="solid">
        <fgColor rgb="FF1F3864"/>
        <bgColor rgb="FF333333"/>
      </patternFill>
    </fill>
    <fill>
      <patternFill patternType="solid">
        <fgColor rgb="FFF2F2F2"/>
        <bgColor rgb="FFE2EFDA"/>
      </patternFill>
    </fill>
    <fill>
      <patternFill patternType="solid">
        <fgColor rgb="FFE2EFD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8" fillId="2"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7" fontId="8"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8" fontId="8" fillId="2" borderId="1" xfId="0" applyFont="true" applyBorder="true" applyAlignment="false" applyProtection="false">
      <alignment horizontal="general" vertical="bottom" textRotation="0" wrapText="false" indent="0" shrinkToFit="false"/>
      <protection locked="true" hidden="false"/>
    </xf>
    <xf numFmtId="169" fontId="8" fillId="2" borderId="1" xfId="0" applyFont="true" applyBorder="tru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8"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9" fontId="7" fillId="5"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2A8"/>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3" min="2" style="0" width="18"/>
    <col collapsed="false" customWidth="true" hidden="false" outlineLevel="0" max="4" min="4" style="0" width="5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v>115000</v>
      </c>
      <c r="D5" s="2" t="s">
        <v>4</v>
      </c>
    </row>
    <row r="7" customFormat="false" ht="15" hidden="false" customHeight="false" outlineLevel="0" collapsed="false">
      <c r="A7" s="2" t="s">
        <v>5</v>
      </c>
    </row>
    <row r="8" customFormat="false" ht="15" hidden="false" customHeight="false" outlineLevel="0" collapsed="false">
      <c r="A8" s="6" t="s">
        <v>6</v>
      </c>
      <c r="B8" s="6" t="s">
        <v>7</v>
      </c>
      <c r="C8" s="6" t="s">
        <v>8</v>
      </c>
    </row>
    <row r="9" customFormat="false" ht="15" hidden="false" customHeight="false" outlineLevel="0" collapsed="false">
      <c r="A9" s="7" t="s">
        <v>9</v>
      </c>
      <c r="B9" s="8" t="n">
        <v>1</v>
      </c>
      <c r="C9" s="9" t="n">
        <f aca="false">IF($B9=0,0,$B$5/$B9)</f>
        <v>115000</v>
      </c>
    </row>
    <row r="10" customFormat="false" ht="15" hidden="false" customHeight="false" outlineLevel="0" collapsed="false">
      <c r="A10" s="7" t="s">
        <v>10</v>
      </c>
      <c r="B10" s="8" t="n">
        <v>3.6725</v>
      </c>
      <c r="C10" s="9" t="n">
        <f aca="false">IF($B10=0,0,$B$5/$B10)</f>
        <v>31313.8189244384</v>
      </c>
    </row>
    <row r="11" customFormat="false" ht="15" hidden="false" customHeight="false" outlineLevel="0" collapsed="false">
      <c r="A11" s="7" t="s">
        <v>11</v>
      </c>
      <c r="B11" s="8" t="n">
        <v>7.1</v>
      </c>
      <c r="C11" s="9" t="n">
        <f aca="false">IF($B11=0,0,$B$5/$B11)</f>
        <v>16197.1830985916</v>
      </c>
    </row>
    <row r="12" customFormat="false" ht="15" hidden="false" customHeight="false" outlineLevel="0" collapsed="false">
      <c r="A12" s="7" t="s">
        <v>12</v>
      </c>
      <c r="B12" s="8" t="n">
        <v>0.92</v>
      </c>
      <c r="C12" s="9" t="n">
        <f aca="false">IF($B12=0,0,$B$5/$B12)</f>
        <v>125000</v>
      </c>
    </row>
    <row r="13" customFormat="false" ht="15" hidden="false" customHeight="false" outlineLevel="0" collapsed="false">
      <c r="A13" s="7" t="s">
        <v>13</v>
      </c>
      <c r="B13" s="8" t="n">
        <v>34</v>
      </c>
      <c r="C13" s="9" t="n">
        <f aca="false">IF($B13=0,0,$B$5/$B13)</f>
        <v>3382.35294117647</v>
      </c>
    </row>
    <row r="14" customFormat="false" ht="15" hidden="false" customHeight="false" outlineLevel="0" collapsed="false">
      <c r="A14" s="7" t="s">
        <v>14</v>
      </c>
      <c r="B14" s="8" t="n">
        <v>0.79</v>
      </c>
      <c r="C14" s="9" t="n">
        <f aca="false">IF($B14=0,0,$B$5/$B14)</f>
        <v>145569.620253165</v>
      </c>
    </row>
    <row r="15" customFormat="false" ht="15" hidden="false" customHeight="false" outlineLevel="0" collapsed="false">
      <c r="A15" s="7" t="s">
        <v>15</v>
      </c>
      <c r="B15" s="8" t="n">
        <v>90</v>
      </c>
      <c r="C15" s="9" t="n">
        <f aca="false">IF($B15=0,0,$B$5/$B15)</f>
        <v>1277.77777777778</v>
      </c>
    </row>
    <row r="16" customFormat="false" ht="15" hidden="false" customHeight="false" outlineLevel="0" collapsed="false">
      <c r="A16" s="7" t="s">
        <v>16</v>
      </c>
      <c r="B16" s="10" t="n">
        <v>1</v>
      </c>
      <c r="C16" s="9" t="n">
        <v>1</v>
      </c>
      <c r="D16" s="2" t="s">
        <v>17</v>
      </c>
    </row>
    <row r="18" customFormat="false" ht="15" hidden="false" customHeight="false" outlineLevel="0" collapsed="false">
      <c r="A18" s="3" t="s">
        <v>18</v>
      </c>
    </row>
    <row r="19" customFormat="false" ht="15" hidden="false" customHeight="false" outlineLevel="0" collapsed="false">
      <c r="A19" s="2" t="s">
        <v>19</v>
      </c>
    </row>
    <row r="20" customFormat="false" ht="15" hidden="false" customHeight="false" outlineLevel="0" collapsed="false">
      <c r="A20" s="6" t="s">
        <v>20</v>
      </c>
      <c r="B20" s="6" t="s">
        <v>21</v>
      </c>
      <c r="C20" s="6" t="s">
        <v>6</v>
      </c>
    </row>
    <row r="21" customFormat="false" ht="15" hidden="false" customHeight="false" outlineLevel="0" collapsed="false">
      <c r="A21" s="7" t="s">
        <v>22</v>
      </c>
      <c r="B21" s="5" t="n">
        <v>1800</v>
      </c>
      <c r="C21" s="11" t="s">
        <v>9</v>
      </c>
      <c r="D21" s="2" t="s">
        <v>23</v>
      </c>
    </row>
    <row r="22" customFormat="false" ht="15" hidden="false" customHeight="false" outlineLevel="0" collapsed="false">
      <c r="A22" s="7" t="s">
        <v>24</v>
      </c>
      <c r="B22" s="5" t="n">
        <v>1400000000</v>
      </c>
      <c r="C22" s="11" t="s">
        <v>16</v>
      </c>
      <c r="D22" s="2" t="s">
        <v>25</v>
      </c>
    </row>
    <row r="23" customFormat="false" ht="15" hidden="false" customHeight="false" outlineLevel="0" collapsed="false">
      <c r="A23" s="7" t="s">
        <v>26</v>
      </c>
      <c r="B23" s="5" t="n">
        <v>95000000</v>
      </c>
      <c r="C23" s="11" t="s">
        <v>16</v>
      </c>
      <c r="D23" s="2" t="s">
        <v>27</v>
      </c>
    </row>
    <row r="25" customFormat="false" ht="15" hidden="false" customHeight="false" outlineLevel="0" collapsed="false">
      <c r="A25" s="7" t="s">
        <v>28</v>
      </c>
      <c r="B25" s="11" t="s">
        <v>29</v>
      </c>
      <c r="D25" s="2" t="s">
        <v>30</v>
      </c>
    </row>
    <row r="26" customFormat="false" ht="15" hidden="false" customHeight="false" outlineLevel="0" collapsed="false">
      <c r="A26" s="7" t="s">
        <v>31</v>
      </c>
      <c r="B26" s="12" t="n">
        <v>0.35</v>
      </c>
      <c r="D26" s="2" t="s">
        <v>32</v>
      </c>
    </row>
    <row r="28" customFormat="false" ht="15" hidden="false" customHeight="false" outlineLevel="0" collapsed="false">
      <c r="A28" s="3" t="s">
        <v>33</v>
      </c>
    </row>
    <row r="29" customFormat="false" ht="15" hidden="false" customHeight="false" outlineLevel="0" collapsed="false">
      <c r="A29" s="13" t="s">
        <v>34</v>
      </c>
    </row>
    <row r="30" customFormat="false" ht="15" hidden="false" customHeight="false" outlineLevel="0" collapsed="false">
      <c r="A30" s="14" t="s">
        <v>35</v>
      </c>
    </row>
    <row r="32" customFormat="false" ht="15" hidden="false" customHeight="false" outlineLevel="0" collapsed="false">
      <c r="A32" s="2" t="s">
        <v>36</v>
      </c>
    </row>
  </sheetData>
  <dataValidations count="2">
    <dataValidation allowBlank="false" errorStyle="stop" operator="between" showDropDown="false" showErrorMessage="false" showInputMessage="false" sqref="C21:C23" type="list">
      <formula1>"دلار,درهم,یوان,یورو,لیر,پوند,روبل,تومان"</formula1>
      <formula2>0</formula2>
    </dataValidation>
    <dataValidation allowBlank="false" errorStyle="stop" operator="between" showDropDown="false" showErrorMessage="false" showInputMessage="false" sqref="B25" type="list">
      <formula1>"قیمت کالا,وزن کالا"</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3"/>
    <col collapsed="false" customWidth="true" hidden="false" outlineLevel="0" max="4" min="4" style="0" width="10"/>
    <col collapsed="false" customWidth="true" hidden="false" outlineLevel="0" max="5" min="5" style="0" width="12"/>
    <col collapsed="false" customWidth="true" hidden="false" outlineLevel="0" max="6" min="6" style="0" width="15"/>
    <col collapsed="false" customWidth="true" hidden="false" outlineLevel="0" max="7" min="7" style="0" width="13"/>
    <col collapsed="false" customWidth="true" hidden="false" outlineLevel="0" max="8" min="8" style="0" width="16"/>
    <col collapsed="false" customWidth="true" hidden="false" outlineLevel="0" max="9" min="9" style="0" width="13"/>
    <col collapsed="false" customWidth="true" hidden="false" outlineLevel="0" max="10" min="10" style="0" width="14"/>
    <col collapsed="false" customWidth="true" hidden="false" outlineLevel="0" max="11" min="11" style="0" width="15"/>
    <col collapsed="false" customWidth="true" hidden="false" outlineLevel="0" max="12" min="12" style="0" width="13"/>
    <col collapsed="false" customWidth="true" hidden="false" outlineLevel="0" max="13" min="13" style="0" width="17"/>
    <col collapsed="false" customWidth="true" hidden="false" outlineLevel="0" max="14" min="14" style="0" width="15"/>
    <col collapsed="false" customWidth="true" hidden="false" outlineLevel="0" max="15" min="15" style="0" width="14"/>
    <col collapsed="false" customWidth="true" hidden="false" outlineLevel="0" max="16" min="16" style="0" width="11"/>
    <col collapsed="false" customWidth="true" hidden="false" outlineLevel="0" max="17" min="17" style="0" width="16"/>
    <col collapsed="false" customWidth="true" hidden="false" outlineLevel="0" max="19" min="18" style="0" width="15"/>
  </cols>
  <sheetData>
    <row r="1" customFormat="false" ht="17.35" hidden="false" customHeight="false" outlineLevel="0" collapsed="false">
      <c r="A1" s="1" t="s">
        <v>37</v>
      </c>
    </row>
    <row r="2" customFormat="false" ht="15" hidden="false" customHeight="false" outlineLevel="0" collapsed="false">
      <c r="A2" s="2" t="s">
        <v>38</v>
      </c>
    </row>
    <row r="4" customFormat="false" ht="39.75" hidden="false" customHeight="true" outlineLevel="0" collapsed="false">
      <c r="A4" s="15" t="s">
        <v>39</v>
      </c>
      <c r="B4" s="15" t="s">
        <v>40</v>
      </c>
      <c r="C4" s="15" t="s">
        <v>41</v>
      </c>
      <c r="D4" s="15" t="s">
        <v>42</v>
      </c>
      <c r="E4" s="15" t="s">
        <v>43</v>
      </c>
      <c r="F4" s="15" t="s">
        <v>44</v>
      </c>
      <c r="G4" s="15" t="s">
        <v>45</v>
      </c>
      <c r="H4" s="15" t="s">
        <v>46</v>
      </c>
      <c r="I4" s="15" t="s">
        <v>47</v>
      </c>
      <c r="J4" s="15" t="s">
        <v>48</v>
      </c>
      <c r="K4" s="15" t="s">
        <v>49</v>
      </c>
      <c r="L4" s="15" t="s">
        <v>50</v>
      </c>
      <c r="M4" s="15" t="s">
        <v>51</v>
      </c>
      <c r="N4" s="15" t="s">
        <v>52</v>
      </c>
      <c r="O4" s="15" t="s">
        <v>53</v>
      </c>
      <c r="P4" s="15" t="s">
        <v>54</v>
      </c>
      <c r="Q4" s="15" t="s">
        <v>55</v>
      </c>
      <c r="R4" s="15" t="s">
        <v>56</v>
      </c>
      <c r="S4" s="15" t="s">
        <v>57</v>
      </c>
    </row>
    <row r="5" customFormat="false" ht="15" hidden="false" customHeight="false" outlineLevel="0" collapsed="false">
      <c r="A5" s="11" t="s">
        <v>58</v>
      </c>
      <c r="B5" s="11" t="s">
        <v>10</v>
      </c>
      <c r="C5" s="16" t="n">
        <v>32</v>
      </c>
      <c r="D5" s="5" t="n">
        <v>600</v>
      </c>
      <c r="E5" s="17" t="n">
        <v>42</v>
      </c>
      <c r="F5" s="5" t="n">
        <v>2610000</v>
      </c>
      <c r="G5" s="9" t="n">
        <f aca="false">IF($A5="","",INDEX('ارز و هزینه‌ها'!$C$9:$C$16,MATCH($B5,'ارز و هزینه‌ها'!$A$9:$A$16,0)))</f>
        <v>31313.8189244384</v>
      </c>
      <c r="H5" s="9" t="n">
        <f aca="false">IF($A5="","",$C5*$D5*$G5)</f>
        <v>601225323.349217</v>
      </c>
      <c r="I5" s="18" t="n">
        <f aca="false">IF($A5="","",IF('ارز و هزینه‌ها'!$B$25="وزن کالا",IF(SUM($E$5:$E$29)=0,0,$E5/SUM($E$5:$E$29)),IF(SUM($H$5:$H$29)=0,0,$H5/SUM($H$5:$H$29))))</f>
        <v>0.216579044857338</v>
      </c>
      <c r="J5" s="9" t="n">
        <f aca="false">IF($A5="","",'ارز و هزینه‌ها'!$B$21*INDEX('ارز و هزینه‌ها'!$C$9:$C$16,MATCH('ارز و هزینه‌ها'!$C$21,'ارز و هزینه‌ها'!$A$9:$A$16,0))*$I5)</f>
        <v>44831862.285469</v>
      </c>
      <c r="K5" s="9" t="n">
        <f aca="false">IF($A5="","",'ارز و هزینه‌ها'!$B$22*INDEX('ارز و هزینه‌ها'!$C$9:$C$16,MATCH('ارز و هزینه‌ها'!$C$22,'ارز و هزینه‌ها'!$A$9:$A$16,0))*$I5)</f>
        <v>303210662.800273</v>
      </c>
      <c r="L5" s="9" t="n">
        <f aca="false">IF($A5="","",'ارز و هزینه‌ها'!$B$23*INDEX('ارز و هزینه‌ها'!$C$9:$C$16,MATCH('ارز و هزینه‌ها'!$C$23,'ارز و هزینه‌ها'!$A$9:$A$16,0))*$I5)</f>
        <v>20575009.2614471</v>
      </c>
      <c r="M5" s="9" t="n">
        <f aca="false">IF($A5="","",$H5+$J5+$K5+$L5)</f>
        <v>969842857.696406</v>
      </c>
      <c r="N5" s="9" t="n">
        <f aca="false">IF($A5="","",IF($D5=0,0,$M5/$D5))</f>
        <v>1616404.76282734</v>
      </c>
      <c r="O5" s="9" t="n">
        <f aca="false">IF($A5="","",$F5-$N5)</f>
        <v>993595.237172656</v>
      </c>
      <c r="P5" s="18" t="n">
        <f aca="false">IF($A5="","",IF($F5=0,0,$O5/$F5))</f>
        <v>0.380687830334351</v>
      </c>
      <c r="Q5" s="9" t="n">
        <f aca="false">IF($A5="","",$O5*$D5)</f>
        <v>596157142.303594</v>
      </c>
      <c r="R5" s="9" t="n">
        <f aca="false">IF($A5="","",$N5)</f>
        <v>1616404.76282734</v>
      </c>
      <c r="S5" s="9" t="n">
        <f aca="false">IF($A5="","",IF(1-'ارز و هزینه‌ها'!$B$26&lt;=0,0,$N5/(1-'ارز و هزینه‌ها'!$B$26)))</f>
        <v>2486776.55819591</v>
      </c>
    </row>
    <row r="6" customFormat="false" ht="15" hidden="false" customHeight="false" outlineLevel="0" collapsed="false">
      <c r="A6" s="11" t="s">
        <v>59</v>
      </c>
      <c r="B6" s="11" t="s">
        <v>10</v>
      </c>
      <c r="C6" s="16" t="n">
        <v>14</v>
      </c>
      <c r="D6" s="5" t="n">
        <v>1200</v>
      </c>
      <c r="E6" s="17" t="n">
        <v>30</v>
      </c>
      <c r="F6" s="5" t="n">
        <v>1140000</v>
      </c>
      <c r="G6" s="9" t="n">
        <f aca="false">IF($A6="","",INDEX('ارز و هزینه‌ها'!$C$9:$C$16,MATCH($B6,'ارز و هزینه‌ها'!$A$9:$A$16,0)))</f>
        <v>31313.8189244384</v>
      </c>
      <c r="H6" s="9" t="n">
        <f aca="false">IF($A6="","",$C6*$D6*$G6)</f>
        <v>526072157.930565</v>
      </c>
      <c r="I6" s="18" t="n">
        <f aca="false">IF($A6="","",IF('ارز و هزینه‌ها'!$B$25="وزن کالا",IF(SUM($E$5:$E$29)=0,0,$E6/SUM($E$5:$E$29)),IF(SUM($H$5:$H$29)=0,0,$H6/SUM($H$5:$H$29))))</f>
        <v>0.189506664250171</v>
      </c>
      <c r="J6" s="9" t="n">
        <f aca="false">IF($A6="","",'ارز و هزینه‌ها'!$B$21*INDEX('ارز و هزینه‌ها'!$C$9:$C$16,MATCH('ارز و هزینه‌ها'!$C$21,'ارز و هزینه‌ها'!$A$9:$A$16,0))*$I6)</f>
        <v>39227879.4997853</v>
      </c>
      <c r="K6" s="9" t="n">
        <f aca="false">IF($A6="","",'ارز و هزینه‌ها'!$B$22*INDEX('ارز و هزینه‌ها'!$C$9:$C$16,MATCH('ارز و هزینه‌ها'!$C$22,'ارز و هزینه‌ها'!$A$9:$A$16,0))*$I6)</f>
        <v>265309329.950239</v>
      </c>
      <c r="L6" s="9" t="n">
        <f aca="false">IF($A6="","",'ارز و هزینه‌ها'!$B$23*INDEX('ارز و هزینه‌ها'!$C$9:$C$16,MATCH('ارز و هزینه‌ها'!$C$23,'ارز و هزینه‌ها'!$A$9:$A$16,0))*$I6)</f>
        <v>18003133.1037662</v>
      </c>
      <c r="M6" s="9" t="n">
        <f aca="false">IF($A6="","",$H6+$J6+$K6+$L6)</f>
        <v>848612500.484355</v>
      </c>
      <c r="N6" s="9" t="n">
        <f aca="false">IF($A6="","",IF($D6=0,0,$M6/$D6))</f>
        <v>707177.083736963</v>
      </c>
      <c r="O6" s="9" t="n">
        <f aca="false">IF($A6="","",$F6-$N6)</f>
        <v>432822.916263037</v>
      </c>
      <c r="P6" s="18" t="n">
        <f aca="false">IF($A6="","",IF($F6=0,0,$O6/$F6))</f>
        <v>0.379669224792138</v>
      </c>
      <c r="Q6" s="9" t="n">
        <f aca="false">IF($A6="","",$O6*$D6)</f>
        <v>519387499.515645</v>
      </c>
      <c r="R6" s="9" t="n">
        <f aca="false">IF($A6="","",$N6)</f>
        <v>707177.083736963</v>
      </c>
      <c r="S6" s="9" t="n">
        <f aca="false">IF($A6="","",IF(1-'ارز و هزینه‌ها'!$B$26&lt;=0,0,$N6/(1-'ارز و هزینه‌ها'!$B$26)))</f>
        <v>1087964.74421071</v>
      </c>
    </row>
    <row r="7" customFormat="false" ht="15" hidden="false" customHeight="false" outlineLevel="0" collapsed="false">
      <c r="A7" s="11" t="s">
        <v>60</v>
      </c>
      <c r="B7" s="11" t="s">
        <v>9</v>
      </c>
      <c r="C7" s="16" t="n">
        <v>13</v>
      </c>
      <c r="D7" s="5" t="n">
        <v>300</v>
      </c>
      <c r="E7" s="17" t="n">
        <v>39</v>
      </c>
      <c r="F7" s="5" t="n">
        <v>3890000</v>
      </c>
      <c r="G7" s="9" t="n">
        <f aca="false">IF($A7="","",INDEX('ارز و هزینه‌ها'!$C$9:$C$16,MATCH($B7,'ارز و هزینه‌ها'!$A$9:$A$16,0)))</f>
        <v>115000</v>
      </c>
      <c r="H7" s="9" t="n">
        <f aca="false">IF($A7="","",$C7*$D7*$G7)</f>
        <v>448500000</v>
      </c>
      <c r="I7" s="18" t="n">
        <f aca="false">IF($A7="","",IF('ارز و هزینه‌ها'!$B$25="وزن کالا",IF(SUM($E$5:$E$29)=0,0,$E7/SUM($E$5:$E$29)),IF(SUM($H$5:$H$29)=0,0,$H7/SUM($H$5:$H$29))))</f>
        <v>0.16156289139221</v>
      </c>
      <c r="J7" s="9" t="n">
        <f aca="false">IF($A7="","",'ارز و هزینه‌ها'!$B$21*INDEX('ارز و هزینه‌ها'!$C$9:$C$16,MATCH('ارز و هزینه‌ها'!$C$21,'ارز و هزینه‌ها'!$A$9:$A$16,0))*$I7)</f>
        <v>33443518.5181875</v>
      </c>
      <c r="K7" s="9" t="n">
        <f aca="false">IF($A7="","",'ارز و هزینه‌ها'!$B$22*INDEX('ارز و هزینه‌ها'!$C$9:$C$16,MATCH('ارز و هزینه‌ها'!$C$22,'ارز و هزینه‌ها'!$A$9:$A$16,0))*$I7)</f>
        <v>226188047.949094</v>
      </c>
      <c r="L7" s="9" t="n">
        <f aca="false">IF($A7="","",'ارز و هزینه‌ها'!$B$23*INDEX('ارز و هزینه‌ها'!$C$9:$C$16,MATCH('ارز و هزینه‌ها'!$C$23,'ارز و هزینه‌ها'!$A$9:$A$16,0))*$I7)</f>
        <v>15348474.68226</v>
      </c>
      <c r="M7" s="9" t="n">
        <f aca="false">IF($A7="","",$H7+$J7+$K7+$L7)</f>
        <v>723480041.149542</v>
      </c>
      <c r="N7" s="9" t="n">
        <f aca="false">IF($A7="","",IF($D7=0,0,$M7/$D7))</f>
        <v>2411600.13716514</v>
      </c>
      <c r="O7" s="9" t="n">
        <f aca="false">IF($A7="","",$F7-$N7)</f>
        <v>1478399.86283486</v>
      </c>
      <c r="P7" s="18" t="n">
        <f aca="false">IF($A7="","",IF($F7=0,0,$O7/$F7))</f>
        <v>0.380051378620787</v>
      </c>
      <c r="Q7" s="9" t="n">
        <f aca="false">IF($A7="","",$O7*$D7)</f>
        <v>443519958.850458</v>
      </c>
      <c r="R7" s="9" t="n">
        <f aca="false">IF($A7="","",$N7)</f>
        <v>2411600.13716514</v>
      </c>
      <c r="S7" s="9" t="n">
        <f aca="false">IF($A7="","",IF(1-'ارز و هزینه‌ها'!$B$26&lt;=0,0,$N7/(1-'ارز و هزینه‌ها'!$B$26)))</f>
        <v>3710154.05717714</v>
      </c>
    </row>
    <row r="8" customFormat="false" ht="15" hidden="false" customHeight="false" outlineLevel="0" collapsed="false">
      <c r="A8" s="11" t="s">
        <v>61</v>
      </c>
      <c r="B8" s="11" t="s">
        <v>9</v>
      </c>
      <c r="C8" s="16" t="n">
        <v>15</v>
      </c>
      <c r="D8" s="5" t="n">
        <v>400</v>
      </c>
      <c r="E8" s="17" t="n">
        <v>32</v>
      </c>
      <c r="F8" s="5" t="n">
        <v>4490000</v>
      </c>
      <c r="G8" s="9" t="n">
        <f aca="false">IF($A8="","",INDEX('ارز و هزینه‌ها'!$C$9:$C$16,MATCH($B8,'ارز و هزینه‌ها'!$A$9:$A$16,0)))</f>
        <v>115000</v>
      </c>
      <c r="H8" s="9" t="n">
        <f aca="false">IF($A8="","",$C8*$D8*$G8)</f>
        <v>690000000</v>
      </c>
      <c r="I8" s="18" t="n">
        <f aca="false">IF($A8="","",IF('ارز و هزینه‌ها'!$B$25="وزن کالا",IF(SUM($E$5:$E$29)=0,0,$E8/SUM($E$5:$E$29)),IF(SUM($H$5:$H$29)=0,0,$H8/SUM($H$5:$H$29))))</f>
        <v>0.248558294449554</v>
      </c>
      <c r="J8" s="9" t="n">
        <f aca="false">IF($A8="","",'ارز و هزینه‌ها'!$B$21*INDEX('ارز و هزینه‌ها'!$C$9:$C$16,MATCH('ارز و هزینه‌ها'!$C$21,'ارز و هزینه‌ها'!$A$9:$A$16,0))*$I8)</f>
        <v>51451566.9510577</v>
      </c>
      <c r="K8" s="9" t="n">
        <f aca="false">IF($A8="","",'ارز و هزینه‌ها'!$B$22*INDEX('ارز و هزینه‌ها'!$C$9:$C$16,MATCH('ارز و هزینه‌ها'!$C$22,'ارز و هزینه‌ها'!$A$9:$A$16,0))*$I8)</f>
        <v>347981612.229376</v>
      </c>
      <c r="L8" s="9" t="n">
        <f aca="false">IF($A8="","",'ارز و هزینه‌ها'!$B$23*INDEX('ارز و هزینه‌ها'!$C$9:$C$16,MATCH('ارز و هزینه‌ها'!$C$23,'ارز و هزینه‌ها'!$A$9:$A$16,0))*$I8)</f>
        <v>23613037.9727077</v>
      </c>
      <c r="M8" s="9" t="n">
        <f aca="false">IF($A8="","",$H8+$J8+$K8+$L8)</f>
        <v>1113046217.15314</v>
      </c>
      <c r="N8" s="9" t="n">
        <f aca="false">IF($A8="","",IF($D8=0,0,$M8/$D8))</f>
        <v>2782615.54288285</v>
      </c>
      <c r="O8" s="9" t="n">
        <f aca="false">IF($A8="","",$F8-$N8)</f>
        <v>1707384.45711715</v>
      </c>
      <c r="P8" s="18" t="n">
        <f aca="false">IF($A8="","",IF($F8=0,0,$O8/$F8))</f>
        <v>0.380263798912505</v>
      </c>
      <c r="Q8" s="9" t="n">
        <f aca="false">IF($A8="","",$O8*$D8)</f>
        <v>682953782.846859</v>
      </c>
      <c r="R8" s="9" t="n">
        <f aca="false">IF($A8="","",$N8)</f>
        <v>2782615.54288285</v>
      </c>
      <c r="S8" s="9" t="n">
        <f aca="false">IF($A8="","",IF(1-'ارز و هزینه‌ها'!$B$26&lt;=0,0,$N8/(1-'ارز و هزینه‌ها'!$B$26)))</f>
        <v>4280946.98905054</v>
      </c>
    </row>
    <row r="9" customFormat="false" ht="15" hidden="false" customHeight="false" outlineLevel="0" collapsed="false">
      <c r="A9" s="11" t="s">
        <v>62</v>
      </c>
      <c r="B9" s="11" t="s">
        <v>11</v>
      </c>
      <c r="C9" s="16" t="n">
        <v>35</v>
      </c>
      <c r="D9" s="5" t="n">
        <v>900</v>
      </c>
      <c r="E9" s="17" t="n">
        <v>27</v>
      </c>
      <c r="F9" s="5" t="n">
        <v>1470000</v>
      </c>
      <c r="G9" s="9" t="n">
        <f aca="false">IF($A9="","",INDEX('ارز و هزینه‌ها'!$C$9:$C$16,MATCH($B9,'ارز و هزینه‌ها'!$A$9:$A$16,0)))</f>
        <v>16197.1830985916</v>
      </c>
      <c r="H9" s="9" t="n">
        <f aca="false">IF($A9="","",$C9*$D9*$G9)</f>
        <v>510211267.605634</v>
      </c>
      <c r="I9" s="18" t="n">
        <f aca="false">IF($A9="","",IF('ارز و هزینه‌ها'!$B$25="وزن کالا",IF(SUM($E$5:$E$29)=0,0,$E9/SUM($E$5:$E$29)),IF(SUM($H$5:$H$29)=0,0,$H9/SUM($H$5:$H$29))))</f>
        <v>0.183793105050727</v>
      </c>
      <c r="J9" s="9" t="n">
        <f aca="false">IF($A9="","",'ارز و هزینه‌ها'!$B$21*INDEX('ارز و هزینه‌ها'!$C$9:$C$16,MATCH('ارز و هزینه‌ها'!$C$21,'ارز و هزینه‌ها'!$A$9:$A$16,0))*$I9)</f>
        <v>38045172.7455004</v>
      </c>
      <c r="K9" s="9" t="n">
        <f aca="false">IF($A9="","",'ارز و هزینه‌ها'!$B$22*INDEX('ارز و هزینه‌ها'!$C$9:$C$16,MATCH('ارز و هزینه‌ها'!$C$22,'ارز و هزینه‌ها'!$A$9:$A$16,0))*$I9)</f>
        <v>257310347.071017</v>
      </c>
      <c r="L9" s="9" t="n">
        <f aca="false">IF($A9="","",'ارز و هزینه‌ها'!$B$23*INDEX('ارز و هزینه‌ها'!$C$9:$C$16,MATCH('ارز و هزینه‌ها'!$C$23,'ارز و هزینه‌ها'!$A$9:$A$16,0))*$I9)</f>
        <v>17460344.979819</v>
      </c>
      <c r="M9" s="9" t="n">
        <f aca="false">IF($A9="","",$H9+$J9+$K9+$L9)</f>
        <v>823027132.401971</v>
      </c>
      <c r="N9" s="9" t="n">
        <f aca="false">IF($A9="","",IF($D9=0,0,$M9/$D9))</f>
        <v>914474.591557745</v>
      </c>
      <c r="O9" s="9" t="n">
        <f aca="false">IF($A9="","",$F9-$N9)</f>
        <v>555525.408442255</v>
      </c>
      <c r="P9" s="18" t="n">
        <f aca="false">IF($A9="","",IF($F9=0,0,$O9/$F9))</f>
        <v>0.37790844111718</v>
      </c>
      <c r="Q9" s="9" t="n">
        <f aca="false">IF($A9="","",$O9*$D9)</f>
        <v>499972867.598029</v>
      </c>
      <c r="R9" s="9" t="n">
        <f aca="false">IF($A9="","",$N9)</f>
        <v>914474.591557745</v>
      </c>
      <c r="S9" s="9" t="n">
        <f aca="false">IF($A9="","",IF(1-'ارز و هزینه‌ها'!$B$26&lt;=0,0,$N9/(1-'ارز و هزینه‌ها'!$B$26)))</f>
        <v>1406883.98701192</v>
      </c>
    </row>
    <row r="10" customFormat="false" ht="15" hidden="false" customHeight="false" outlineLevel="0" collapsed="false">
      <c r="A10" s="11"/>
      <c r="B10" s="11"/>
      <c r="C10" s="16"/>
      <c r="D10" s="5"/>
      <c r="E10" s="17"/>
      <c r="F10" s="5"/>
      <c r="G10" s="9" t="str">
        <f aca="false">IF($A10="","",INDEX('ارز و هزینه‌ها'!$C$9:$C$16,MATCH($B10,'ارز و هزینه‌ها'!$A$9:$A$16,0)))</f>
        <v/>
      </c>
      <c r="H10" s="9" t="str">
        <f aca="false">IF($A10="","",$C10*$D10*$G10)</f>
        <v/>
      </c>
      <c r="I10" s="18" t="str">
        <f aca="false">IF($A10="","",IF('ارز و هزینه‌ها'!$B$25="وزن کالا",IF(SUM($E$5:$E$29)=0,0,$E10/SUM($E$5:$E$29)),IF(SUM($H$5:$H$29)=0,0,$H10/SUM($H$5:$H$29))))</f>
        <v/>
      </c>
      <c r="J10" s="9" t="str">
        <f aca="false">IF($A10="","",'ارز و هزینه‌ها'!$B$21*INDEX('ارز و هزینه‌ها'!$C$9:$C$16,MATCH('ارز و هزینه‌ها'!$C$21,'ارز و هزینه‌ها'!$A$9:$A$16,0))*$I10)</f>
        <v/>
      </c>
      <c r="K10" s="9" t="str">
        <f aca="false">IF($A10="","",'ارز و هزینه‌ها'!$B$22*INDEX('ارز و هزینه‌ها'!$C$9:$C$16,MATCH('ارز و هزینه‌ها'!$C$22,'ارز و هزینه‌ها'!$A$9:$A$16,0))*$I10)</f>
        <v/>
      </c>
      <c r="L10" s="9" t="str">
        <f aca="false">IF($A10="","",'ارز و هزینه‌ها'!$B$23*INDEX('ارز و هزینه‌ها'!$C$9:$C$16,MATCH('ارز و هزینه‌ها'!$C$23,'ارز و هزینه‌ها'!$A$9:$A$16,0))*$I10)</f>
        <v/>
      </c>
      <c r="M10" s="9" t="str">
        <f aca="false">IF($A10="","",$H10+$J10+$K10+$L10)</f>
        <v/>
      </c>
      <c r="N10" s="9" t="str">
        <f aca="false">IF($A10="","",IF($D10=0,0,$M10/$D10))</f>
        <v/>
      </c>
      <c r="O10" s="9" t="str">
        <f aca="false">IF($A10="","",$F10-$N10)</f>
        <v/>
      </c>
      <c r="P10" s="18" t="str">
        <f aca="false">IF($A10="","",IF($F10=0,0,$O10/$F10))</f>
        <v/>
      </c>
      <c r="Q10" s="9" t="str">
        <f aca="false">IF($A10="","",$O10*$D10)</f>
        <v/>
      </c>
      <c r="R10" s="9" t="str">
        <f aca="false">IF($A10="","",$N10)</f>
        <v/>
      </c>
      <c r="S10" s="9" t="str">
        <f aca="false">IF($A10="","",IF(1-'ارز و هزینه‌ها'!$B$26&lt;=0,0,$N10/(1-'ارز و هزینه‌ها'!$B$26)))</f>
        <v/>
      </c>
    </row>
    <row r="11" customFormat="false" ht="15" hidden="false" customHeight="false" outlineLevel="0" collapsed="false">
      <c r="A11" s="11"/>
      <c r="B11" s="11"/>
      <c r="C11" s="16"/>
      <c r="D11" s="5"/>
      <c r="E11" s="17"/>
      <c r="F11" s="5"/>
      <c r="G11" s="9" t="str">
        <f aca="false">IF($A11="","",INDEX('ارز و هزینه‌ها'!$C$9:$C$16,MATCH($B11,'ارز و هزینه‌ها'!$A$9:$A$16,0)))</f>
        <v/>
      </c>
      <c r="H11" s="9" t="str">
        <f aca="false">IF($A11="","",$C11*$D11*$G11)</f>
        <v/>
      </c>
      <c r="I11" s="18" t="str">
        <f aca="false">IF($A11="","",IF('ارز و هزینه‌ها'!$B$25="وزن کالا",IF(SUM($E$5:$E$29)=0,0,$E11/SUM($E$5:$E$29)),IF(SUM($H$5:$H$29)=0,0,$H11/SUM($H$5:$H$29))))</f>
        <v/>
      </c>
      <c r="J11" s="9" t="str">
        <f aca="false">IF($A11="","",'ارز و هزینه‌ها'!$B$21*INDEX('ارز و هزینه‌ها'!$C$9:$C$16,MATCH('ارز و هزینه‌ها'!$C$21,'ارز و هزینه‌ها'!$A$9:$A$16,0))*$I11)</f>
        <v/>
      </c>
      <c r="K11" s="9" t="str">
        <f aca="false">IF($A11="","",'ارز و هزینه‌ها'!$B$22*INDEX('ارز و هزینه‌ها'!$C$9:$C$16,MATCH('ارز و هزینه‌ها'!$C$22,'ارز و هزینه‌ها'!$A$9:$A$16,0))*$I11)</f>
        <v/>
      </c>
      <c r="L11" s="9" t="str">
        <f aca="false">IF($A11="","",'ارز و هزینه‌ها'!$B$23*INDEX('ارز و هزینه‌ها'!$C$9:$C$16,MATCH('ارز و هزینه‌ها'!$C$23,'ارز و هزینه‌ها'!$A$9:$A$16,0))*$I11)</f>
        <v/>
      </c>
      <c r="M11" s="9" t="str">
        <f aca="false">IF($A11="","",$H11+$J11+$K11+$L11)</f>
        <v/>
      </c>
      <c r="N11" s="9" t="str">
        <f aca="false">IF($A11="","",IF($D11=0,0,$M11/$D11))</f>
        <v/>
      </c>
      <c r="O11" s="9" t="str">
        <f aca="false">IF($A11="","",$F11-$N11)</f>
        <v/>
      </c>
      <c r="P11" s="18" t="str">
        <f aca="false">IF($A11="","",IF($F11=0,0,$O11/$F11))</f>
        <v/>
      </c>
      <c r="Q11" s="9" t="str">
        <f aca="false">IF($A11="","",$O11*$D11)</f>
        <v/>
      </c>
      <c r="R11" s="9" t="str">
        <f aca="false">IF($A11="","",$N11)</f>
        <v/>
      </c>
      <c r="S11" s="9" t="str">
        <f aca="false">IF($A11="","",IF(1-'ارز و هزینه‌ها'!$B$26&lt;=0,0,$N11/(1-'ارز و هزینه‌ها'!$B$26)))</f>
        <v/>
      </c>
    </row>
    <row r="12" customFormat="false" ht="15" hidden="false" customHeight="false" outlineLevel="0" collapsed="false">
      <c r="A12" s="11"/>
      <c r="B12" s="11"/>
      <c r="C12" s="16"/>
      <c r="D12" s="5"/>
      <c r="E12" s="17"/>
      <c r="F12" s="5"/>
      <c r="G12" s="9" t="str">
        <f aca="false">IF($A12="","",INDEX('ارز و هزینه‌ها'!$C$9:$C$16,MATCH($B12,'ارز و هزینه‌ها'!$A$9:$A$16,0)))</f>
        <v/>
      </c>
      <c r="H12" s="9" t="str">
        <f aca="false">IF($A12="","",$C12*$D12*$G12)</f>
        <v/>
      </c>
      <c r="I12" s="18" t="str">
        <f aca="false">IF($A12="","",IF('ارز و هزینه‌ها'!$B$25="وزن کالا",IF(SUM($E$5:$E$29)=0,0,$E12/SUM($E$5:$E$29)),IF(SUM($H$5:$H$29)=0,0,$H12/SUM($H$5:$H$29))))</f>
        <v/>
      </c>
      <c r="J12" s="9" t="str">
        <f aca="false">IF($A12="","",'ارز و هزینه‌ها'!$B$21*INDEX('ارز و هزینه‌ها'!$C$9:$C$16,MATCH('ارز و هزینه‌ها'!$C$21,'ارز و هزینه‌ها'!$A$9:$A$16,0))*$I12)</f>
        <v/>
      </c>
      <c r="K12" s="9" t="str">
        <f aca="false">IF($A12="","",'ارز و هزینه‌ها'!$B$22*INDEX('ارز و هزینه‌ها'!$C$9:$C$16,MATCH('ارز و هزینه‌ها'!$C$22,'ارز و هزینه‌ها'!$A$9:$A$16,0))*$I12)</f>
        <v/>
      </c>
      <c r="L12" s="9" t="str">
        <f aca="false">IF($A12="","",'ارز و هزینه‌ها'!$B$23*INDEX('ارز و هزینه‌ها'!$C$9:$C$16,MATCH('ارز و هزینه‌ها'!$C$23,'ارز و هزینه‌ها'!$A$9:$A$16,0))*$I12)</f>
        <v/>
      </c>
      <c r="M12" s="9" t="str">
        <f aca="false">IF($A12="","",$H12+$J12+$K12+$L12)</f>
        <v/>
      </c>
      <c r="N12" s="9" t="str">
        <f aca="false">IF($A12="","",IF($D12=0,0,$M12/$D12))</f>
        <v/>
      </c>
      <c r="O12" s="9" t="str">
        <f aca="false">IF($A12="","",$F12-$N12)</f>
        <v/>
      </c>
      <c r="P12" s="18" t="str">
        <f aca="false">IF($A12="","",IF($F12=0,0,$O12/$F12))</f>
        <v/>
      </c>
      <c r="Q12" s="9" t="str">
        <f aca="false">IF($A12="","",$O12*$D12)</f>
        <v/>
      </c>
      <c r="R12" s="9" t="str">
        <f aca="false">IF($A12="","",$N12)</f>
        <v/>
      </c>
      <c r="S12" s="9" t="str">
        <f aca="false">IF($A12="","",IF(1-'ارز و هزینه‌ها'!$B$26&lt;=0,0,$N12/(1-'ارز و هزینه‌ها'!$B$26)))</f>
        <v/>
      </c>
    </row>
    <row r="13" customFormat="false" ht="15" hidden="false" customHeight="false" outlineLevel="0" collapsed="false">
      <c r="A13" s="11"/>
      <c r="B13" s="11"/>
      <c r="C13" s="16"/>
      <c r="D13" s="5"/>
      <c r="E13" s="17"/>
      <c r="F13" s="5"/>
      <c r="G13" s="9" t="str">
        <f aca="false">IF($A13="","",INDEX('ارز و هزینه‌ها'!$C$9:$C$16,MATCH($B13,'ارز و هزینه‌ها'!$A$9:$A$16,0)))</f>
        <v/>
      </c>
      <c r="H13" s="9" t="str">
        <f aca="false">IF($A13="","",$C13*$D13*$G13)</f>
        <v/>
      </c>
      <c r="I13" s="18" t="str">
        <f aca="false">IF($A13="","",IF('ارز و هزینه‌ها'!$B$25="وزن کالا",IF(SUM($E$5:$E$29)=0,0,$E13/SUM($E$5:$E$29)),IF(SUM($H$5:$H$29)=0,0,$H13/SUM($H$5:$H$29))))</f>
        <v/>
      </c>
      <c r="J13" s="9" t="str">
        <f aca="false">IF($A13="","",'ارز و هزینه‌ها'!$B$21*INDEX('ارز و هزینه‌ها'!$C$9:$C$16,MATCH('ارز و هزینه‌ها'!$C$21,'ارز و هزینه‌ها'!$A$9:$A$16,0))*$I13)</f>
        <v/>
      </c>
      <c r="K13" s="9" t="str">
        <f aca="false">IF($A13="","",'ارز و هزینه‌ها'!$B$22*INDEX('ارز و هزینه‌ها'!$C$9:$C$16,MATCH('ارز و هزینه‌ها'!$C$22,'ارز و هزینه‌ها'!$A$9:$A$16,0))*$I13)</f>
        <v/>
      </c>
      <c r="L13" s="9" t="str">
        <f aca="false">IF($A13="","",'ارز و هزینه‌ها'!$B$23*INDEX('ارز و هزینه‌ها'!$C$9:$C$16,MATCH('ارز و هزینه‌ها'!$C$23,'ارز و هزینه‌ها'!$A$9:$A$16,0))*$I13)</f>
        <v/>
      </c>
      <c r="M13" s="9" t="str">
        <f aca="false">IF($A13="","",$H13+$J13+$K13+$L13)</f>
        <v/>
      </c>
      <c r="N13" s="9" t="str">
        <f aca="false">IF($A13="","",IF($D13=0,0,$M13/$D13))</f>
        <v/>
      </c>
      <c r="O13" s="9" t="str">
        <f aca="false">IF($A13="","",$F13-$N13)</f>
        <v/>
      </c>
      <c r="P13" s="18" t="str">
        <f aca="false">IF($A13="","",IF($F13=0,0,$O13/$F13))</f>
        <v/>
      </c>
      <c r="Q13" s="9" t="str">
        <f aca="false">IF($A13="","",$O13*$D13)</f>
        <v/>
      </c>
      <c r="R13" s="9" t="str">
        <f aca="false">IF($A13="","",$N13)</f>
        <v/>
      </c>
      <c r="S13" s="9" t="str">
        <f aca="false">IF($A13="","",IF(1-'ارز و هزینه‌ها'!$B$26&lt;=0,0,$N13/(1-'ارز و هزینه‌ها'!$B$26)))</f>
        <v/>
      </c>
    </row>
    <row r="14" customFormat="false" ht="15" hidden="false" customHeight="false" outlineLevel="0" collapsed="false">
      <c r="A14" s="11"/>
      <c r="B14" s="11"/>
      <c r="C14" s="16"/>
      <c r="D14" s="5"/>
      <c r="E14" s="17"/>
      <c r="F14" s="5"/>
      <c r="G14" s="9" t="str">
        <f aca="false">IF($A14="","",INDEX('ارز و هزینه‌ها'!$C$9:$C$16,MATCH($B14,'ارز و هزینه‌ها'!$A$9:$A$16,0)))</f>
        <v/>
      </c>
      <c r="H14" s="9" t="str">
        <f aca="false">IF($A14="","",$C14*$D14*$G14)</f>
        <v/>
      </c>
      <c r="I14" s="18" t="str">
        <f aca="false">IF($A14="","",IF('ارز و هزینه‌ها'!$B$25="وزن کالا",IF(SUM($E$5:$E$29)=0,0,$E14/SUM($E$5:$E$29)),IF(SUM($H$5:$H$29)=0,0,$H14/SUM($H$5:$H$29))))</f>
        <v/>
      </c>
      <c r="J14" s="9" t="str">
        <f aca="false">IF($A14="","",'ارز و هزینه‌ها'!$B$21*INDEX('ارز و هزینه‌ها'!$C$9:$C$16,MATCH('ارز و هزینه‌ها'!$C$21,'ارز و هزینه‌ها'!$A$9:$A$16,0))*$I14)</f>
        <v/>
      </c>
      <c r="K14" s="9" t="str">
        <f aca="false">IF($A14="","",'ارز و هزینه‌ها'!$B$22*INDEX('ارز و هزینه‌ها'!$C$9:$C$16,MATCH('ارز و هزینه‌ها'!$C$22,'ارز و هزینه‌ها'!$A$9:$A$16,0))*$I14)</f>
        <v/>
      </c>
      <c r="L14" s="9" t="str">
        <f aca="false">IF($A14="","",'ارز و هزینه‌ها'!$B$23*INDEX('ارز و هزینه‌ها'!$C$9:$C$16,MATCH('ارز و هزینه‌ها'!$C$23,'ارز و هزینه‌ها'!$A$9:$A$16,0))*$I14)</f>
        <v/>
      </c>
      <c r="M14" s="9" t="str">
        <f aca="false">IF($A14="","",$H14+$J14+$K14+$L14)</f>
        <v/>
      </c>
      <c r="N14" s="9" t="str">
        <f aca="false">IF($A14="","",IF($D14=0,0,$M14/$D14))</f>
        <v/>
      </c>
      <c r="O14" s="9" t="str">
        <f aca="false">IF($A14="","",$F14-$N14)</f>
        <v/>
      </c>
      <c r="P14" s="18" t="str">
        <f aca="false">IF($A14="","",IF($F14=0,0,$O14/$F14))</f>
        <v/>
      </c>
      <c r="Q14" s="9" t="str">
        <f aca="false">IF($A14="","",$O14*$D14)</f>
        <v/>
      </c>
      <c r="R14" s="9" t="str">
        <f aca="false">IF($A14="","",$N14)</f>
        <v/>
      </c>
      <c r="S14" s="9" t="str">
        <f aca="false">IF($A14="","",IF(1-'ارز و هزینه‌ها'!$B$26&lt;=0,0,$N14/(1-'ارز و هزینه‌ها'!$B$26)))</f>
        <v/>
      </c>
    </row>
    <row r="15" customFormat="false" ht="15" hidden="false" customHeight="false" outlineLevel="0" collapsed="false">
      <c r="A15" s="11"/>
      <c r="B15" s="11"/>
      <c r="C15" s="16"/>
      <c r="D15" s="5"/>
      <c r="E15" s="17"/>
      <c r="F15" s="5"/>
      <c r="G15" s="9" t="str">
        <f aca="false">IF($A15="","",INDEX('ارز و هزینه‌ها'!$C$9:$C$16,MATCH($B15,'ارز و هزینه‌ها'!$A$9:$A$16,0)))</f>
        <v/>
      </c>
      <c r="H15" s="9" t="str">
        <f aca="false">IF($A15="","",$C15*$D15*$G15)</f>
        <v/>
      </c>
      <c r="I15" s="18" t="str">
        <f aca="false">IF($A15="","",IF('ارز و هزینه‌ها'!$B$25="وزن کالا",IF(SUM($E$5:$E$29)=0,0,$E15/SUM($E$5:$E$29)),IF(SUM($H$5:$H$29)=0,0,$H15/SUM($H$5:$H$29))))</f>
        <v/>
      </c>
      <c r="J15" s="9" t="str">
        <f aca="false">IF($A15="","",'ارز و هزینه‌ها'!$B$21*INDEX('ارز و هزینه‌ها'!$C$9:$C$16,MATCH('ارز و هزینه‌ها'!$C$21,'ارز و هزینه‌ها'!$A$9:$A$16,0))*$I15)</f>
        <v/>
      </c>
      <c r="K15" s="9" t="str">
        <f aca="false">IF($A15="","",'ارز و هزینه‌ها'!$B$22*INDEX('ارز و هزینه‌ها'!$C$9:$C$16,MATCH('ارز و هزینه‌ها'!$C$22,'ارز و هزینه‌ها'!$A$9:$A$16,0))*$I15)</f>
        <v/>
      </c>
      <c r="L15" s="9" t="str">
        <f aca="false">IF($A15="","",'ارز و هزینه‌ها'!$B$23*INDEX('ارز و هزینه‌ها'!$C$9:$C$16,MATCH('ارز و هزینه‌ها'!$C$23,'ارز و هزینه‌ها'!$A$9:$A$16,0))*$I15)</f>
        <v/>
      </c>
      <c r="M15" s="9" t="str">
        <f aca="false">IF($A15="","",$H15+$J15+$K15+$L15)</f>
        <v/>
      </c>
      <c r="N15" s="9" t="str">
        <f aca="false">IF($A15="","",IF($D15=0,0,$M15/$D15))</f>
        <v/>
      </c>
      <c r="O15" s="9" t="str">
        <f aca="false">IF($A15="","",$F15-$N15)</f>
        <v/>
      </c>
      <c r="P15" s="18" t="str">
        <f aca="false">IF($A15="","",IF($F15=0,0,$O15/$F15))</f>
        <v/>
      </c>
      <c r="Q15" s="9" t="str">
        <f aca="false">IF($A15="","",$O15*$D15)</f>
        <v/>
      </c>
      <c r="R15" s="9" t="str">
        <f aca="false">IF($A15="","",$N15)</f>
        <v/>
      </c>
      <c r="S15" s="9" t="str">
        <f aca="false">IF($A15="","",IF(1-'ارز و هزینه‌ها'!$B$26&lt;=0,0,$N15/(1-'ارز و هزینه‌ها'!$B$26)))</f>
        <v/>
      </c>
    </row>
    <row r="16" customFormat="false" ht="15" hidden="false" customHeight="false" outlineLevel="0" collapsed="false">
      <c r="A16" s="11"/>
      <c r="B16" s="11"/>
      <c r="C16" s="16"/>
      <c r="D16" s="5"/>
      <c r="E16" s="17"/>
      <c r="F16" s="5"/>
      <c r="G16" s="9" t="str">
        <f aca="false">IF($A16="","",INDEX('ارز و هزینه‌ها'!$C$9:$C$16,MATCH($B16,'ارز و هزینه‌ها'!$A$9:$A$16,0)))</f>
        <v/>
      </c>
      <c r="H16" s="9" t="str">
        <f aca="false">IF($A16="","",$C16*$D16*$G16)</f>
        <v/>
      </c>
      <c r="I16" s="18" t="str">
        <f aca="false">IF($A16="","",IF('ارز و هزینه‌ها'!$B$25="وزن کالا",IF(SUM($E$5:$E$29)=0,0,$E16/SUM($E$5:$E$29)),IF(SUM($H$5:$H$29)=0,0,$H16/SUM($H$5:$H$29))))</f>
        <v/>
      </c>
      <c r="J16" s="9" t="str">
        <f aca="false">IF($A16="","",'ارز و هزینه‌ها'!$B$21*INDEX('ارز و هزینه‌ها'!$C$9:$C$16,MATCH('ارز و هزینه‌ها'!$C$21,'ارز و هزینه‌ها'!$A$9:$A$16,0))*$I16)</f>
        <v/>
      </c>
      <c r="K16" s="9" t="str">
        <f aca="false">IF($A16="","",'ارز و هزینه‌ها'!$B$22*INDEX('ارز و هزینه‌ها'!$C$9:$C$16,MATCH('ارز و هزینه‌ها'!$C$22,'ارز و هزینه‌ها'!$A$9:$A$16,0))*$I16)</f>
        <v/>
      </c>
      <c r="L16" s="9" t="str">
        <f aca="false">IF($A16="","",'ارز و هزینه‌ها'!$B$23*INDEX('ارز و هزینه‌ها'!$C$9:$C$16,MATCH('ارز و هزینه‌ها'!$C$23,'ارز و هزینه‌ها'!$A$9:$A$16,0))*$I16)</f>
        <v/>
      </c>
      <c r="M16" s="9" t="str">
        <f aca="false">IF($A16="","",$H16+$J16+$K16+$L16)</f>
        <v/>
      </c>
      <c r="N16" s="9" t="str">
        <f aca="false">IF($A16="","",IF($D16=0,0,$M16/$D16))</f>
        <v/>
      </c>
      <c r="O16" s="9" t="str">
        <f aca="false">IF($A16="","",$F16-$N16)</f>
        <v/>
      </c>
      <c r="P16" s="18" t="str">
        <f aca="false">IF($A16="","",IF($F16=0,0,$O16/$F16))</f>
        <v/>
      </c>
      <c r="Q16" s="9" t="str">
        <f aca="false">IF($A16="","",$O16*$D16)</f>
        <v/>
      </c>
      <c r="R16" s="9" t="str">
        <f aca="false">IF($A16="","",$N16)</f>
        <v/>
      </c>
      <c r="S16" s="9" t="str">
        <f aca="false">IF($A16="","",IF(1-'ارز و هزینه‌ها'!$B$26&lt;=0,0,$N16/(1-'ارز و هزینه‌ها'!$B$26)))</f>
        <v/>
      </c>
    </row>
    <row r="17" customFormat="false" ht="15" hidden="false" customHeight="false" outlineLevel="0" collapsed="false">
      <c r="A17" s="11"/>
      <c r="B17" s="11"/>
      <c r="C17" s="16"/>
      <c r="D17" s="5"/>
      <c r="E17" s="17"/>
      <c r="F17" s="5"/>
      <c r="G17" s="9" t="str">
        <f aca="false">IF($A17="","",INDEX('ارز و هزینه‌ها'!$C$9:$C$16,MATCH($B17,'ارز و هزینه‌ها'!$A$9:$A$16,0)))</f>
        <v/>
      </c>
      <c r="H17" s="9" t="str">
        <f aca="false">IF($A17="","",$C17*$D17*$G17)</f>
        <v/>
      </c>
      <c r="I17" s="18" t="str">
        <f aca="false">IF($A17="","",IF('ارز و هزینه‌ها'!$B$25="وزن کالا",IF(SUM($E$5:$E$29)=0,0,$E17/SUM($E$5:$E$29)),IF(SUM($H$5:$H$29)=0,0,$H17/SUM($H$5:$H$29))))</f>
        <v/>
      </c>
      <c r="J17" s="9" t="str">
        <f aca="false">IF($A17="","",'ارز و هزینه‌ها'!$B$21*INDEX('ارز و هزینه‌ها'!$C$9:$C$16,MATCH('ارز و هزینه‌ها'!$C$21,'ارز و هزینه‌ها'!$A$9:$A$16,0))*$I17)</f>
        <v/>
      </c>
      <c r="K17" s="9" t="str">
        <f aca="false">IF($A17="","",'ارز و هزینه‌ها'!$B$22*INDEX('ارز و هزینه‌ها'!$C$9:$C$16,MATCH('ارز و هزینه‌ها'!$C$22,'ارز و هزینه‌ها'!$A$9:$A$16,0))*$I17)</f>
        <v/>
      </c>
      <c r="L17" s="9" t="str">
        <f aca="false">IF($A17="","",'ارز و هزینه‌ها'!$B$23*INDEX('ارز و هزینه‌ها'!$C$9:$C$16,MATCH('ارز و هزینه‌ها'!$C$23,'ارز و هزینه‌ها'!$A$9:$A$16,0))*$I17)</f>
        <v/>
      </c>
      <c r="M17" s="9" t="str">
        <f aca="false">IF($A17="","",$H17+$J17+$K17+$L17)</f>
        <v/>
      </c>
      <c r="N17" s="9" t="str">
        <f aca="false">IF($A17="","",IF($D17=0,0,$M17/$D17))</f>
        <v/>
      </c>
      <c r="O17" s="9" t="str">
        <f aca="false">IF($A17="","",$F17-$N17)</f>
        <v/>
      </c>
      <c r="P17" s="18" t="str">
        <f aca="false">IF($A17="","",IF($F17=0,0,$O17/$F17))</f>
        <v/>
      </c>
      <c r="Q17" s="9" t="str">
        <f aca="false">IF($A17="","",$O17*$D17)</f>
        <v/>
      </c>
      <c r="R17" s="9" t="str">
        <f aca="false">IF($A17="","",$N17)</f>
        <v/>
      </c>
      <c r="S17" s="9" t="str">
        <f aca="false">IF($A17="","",IF(1-'ارز و هزینه‌ها'!$B$26&lt;=0,0,$N17/(1-'ارز و هزینه‌ها'!$B$26)))</f>
        <v/>
      </c>
    </row>
    <row r="18" customFormat="false" ht="15" hidden="false" customHeight="false" outlineLevel="0" collapsed="false">
      <c r="A18" s="11"/>
      <c r="B18" s="11"/>
      <c r="C18" s="16"/>
      <c r="D18" s="5"/>
      <c r="E18" s="17"/>
      <c r="F18" s="5"/>
      <c r="G18" s="9" t="str">
        <f aca="false">IF($A18="","",INDEX('ارز و هزینه‌ها'!$C$9:$C$16,MATCH($B18,'ارز و هزینه‌ها'!$A$9:$A$16,0)))</f>
        <v/>
      </c>
      <c r="H18" s="9" t="str">
        <f aca="false">IF($A18="","",$C18*$D18*$G18)</f>
        <v/>
      </c>
      <c r="I18" s="18" t="str">
        <f aca="false">IF($A18="","",IF('ارز و هزینه‌ها'!$B$25="وزن کالا",IF(SUM($E$5:$E$29)=0,0,$E18/SUM($E$5:$E$29)),IF(SUM($H$5:$H$29)=0,0,$H18/SUM($H$5:$H$29))))</f>
        <v/>
      </c>
      <c r="J18" s="9" t="str">
        <f aca="false">IF($A18="","",'ارز و هزینه‌ها'!$B$21*INDEX('ارز و هزینه‌ها'!$C$9:$C$16,MATCH('ارز و هزینه‌ها'!$C$21,'ارز و هزینه‌ها'!$A$9:$A$16,0))*$I18)</f>
        <v/>
      </c>
      <c r="K18" s="9" t="str">
        <f aca="false">IF($A18="","",'ارز و هزینه‌ها'!$B$22*INDEX('ارز و هزینه‌ها'!$C$9:$C$16,MATCH('ارز و هزینه‌ها'!$C$22,'ارز و هزینه‌ها'!$A$9:$A$16,0))*$I18)</f>
        <v/>
      </c>
      <c r="L18" s="9" t="str">
        <f aca="false">IF($A18="","",'ارز و هزینه‌ها'!$B$23*INDEX('ارز و هزینه‌ها'!$C$9:$C$16,MATCH('ارز و هزینه‌ها'!$C$23,'ارز و هزینه‌ها'!$A$9:$A$16,0))*$I18)</f>
        <v/>
      </c>
      <c r="M18" s="9" t="str">
        <f aca="false">IF($A18="","",$H18+$J18+$K18+$L18)</f>
        <v/>
      </c>
      <c r="N18" s="9" t="str">
        <f aca="false">IF($A18="","",IF($D18=0,0,$M18/$D18))</f>
        <v/>
      </c>
      <c r="O18" s="9" t="str">
        <f aca="false">IF($A18="","",$F18-$N18)</f>
        <v/>
      </c>
      <c r="P18" s="18" t="str">
        <f aca="false">IF($A18="","",IF($F18=0,0,$O18/$F18))</f>
        <v/>
      </c>
      <c r="Q18" s="9" t="str">
        <f aca="false">IF($A18="","",$O18*$D18)</f>
        <v/>
      </c>
      <c r="R18" s="9" t="str">
        <f aca="false">IF($A18="","",$N18)</f>
        <v/>
      </c>
      <c r="S18" s="9" t="str">
        <f aca="false">IF($A18="","",IF(1-'ارز و هزینه‌ها'!$B$26&lt;=0,0,$N18/(1-'ارز و هزینه‌ها'!$B$26)))</f>
        <v/>
      </c>
    </row>
    <row r="19" customFormat="false" ht="15" hidden="false" customHeight="false" outlineLevel="0" collapsed="false">
      <c r="A19" s="11"/>
      <c r="B19" s="11"/>
      <c r="C19" s="16"/>
      <c r="D19" s="5"/>
      <c r="E19" s="17"/>
      <c r="F19" s="5"/>
      <c r="G19" s="9" t="str">
        <f aca="false">IF($A19="","",INDEX('ارز و هزینه‌ها'!$C$9:$C$16,MATCH($B19,'ارز و هزینه‌ها'!$A$9:$A$16,0)))</f>
        <v/>
      </c>
      <c r="H19" s="9" t="str">
        <f aca="false">IF($A19="","",$C19*$D19*$G19)</f>
        <v/>
      </c>
      <c r="I19" s="18" t="str">
        <f aca="false">IF($A19="","",IF('ارز و هزینه‌ها'!$B$25="وزن کالا",IF(SUM($E$5:$E$29)=0,0,$E19/SUM($E$5:$E$29)),IF(SUM($H$5:$H$29)=0,0,$H19/SUM($H$5:$H$29))))</f>
        <v/>
      </c>
      <c r="J19" s="9" t="str">
        <f aca="false">IF($A19="","",'ارز و هزینه‌ها'!$B$21*INDEX('ارز و هزینه‌ها'!$C$9:$C$16,MATCH('ارز و هزینه‌ها'!$C$21,'ارز و هزینه‌ها'!$A$9:$A$16,0))*$I19)</f>
        <v/>
      </c>
      <c r="K19" s="9" t="str">
        <f aca="false">IF($A19="","",'ارز و هزینه‌ها'!$B$22*INDEX('ارز و هزینه‌ها'!$C$9:$C$16,MATCH('ارز و هزینه‌ها'!$C$22,'ارز و هزینه‌ها'!$A$9:$A$16,0))*$I19)</f>
        <v/>
      </c>
      <c r="L19" s="9" t="str">
        <f aca="false">IF($A19="","",'ارز و هزینه‌ها'!$B$23*INDEX('ارز و هزینه‌ها'!$C$9:$C$16,MATCH('ارز و هزینه‌ها'!$C$23,'ارز و هزینه‌ها'!$A$9:$A$16,0))*$I19)</f>
        <v/>
      </c>
      <c r="M19" s="9" t="str">
        <f aca="false">IF($A19="","",$H19+$J19+$K19+$L19)</f>
        <v/>
      </c>
      <c r="N19" s="9" t="str">
        <f aca="false">IF($A19="","",IF($D19=0,0,$M19/$D19))</f>
        <v/>
      </c>
      <c r="O19" s="9" t="str">
        <f aca="false">IF($A19="","",$F19-$N19)</f>
        <v/>
      </c>
      <c r="P19" s="18" t="str">
        <f aca="false">IF($A19="","",IF($F19=0,0,$O19/$F19))</f>
        <v/>
      </c>
      <c r="Q19" s="9" t="str">
        <f aca="false">IF($A19="","",$O19*$D19)</f>
        <v/>
      </c>
      <c r="R19" s="9" t="str">
        <f aca="false">IF($A19="","",$N19)</f>
        <v/>
      </c>
      <c r="S19" s="9" t="str">
        <f aca="false">IF($A19="","",IF(1-'ارز و هزینه‌ها'!$B$26&lt;=0,0,$N19/(1-'ارز و هزینه‌ها'!$B$26)))</f>
        <v/>
      </c>
    </row>
    <row r="20" customFormat="false" ht="15" hidden="false" customHeight="false" outlineLevel="0" collapsed="false">
      <c r="A20" s="11"/>
      <c r="B20" s="11"/>
      <c r="C20" s="16"/>
      <c r="D20" s="5"/>
      <c r="E20" s="17"/>
      <c r="F20" s="5"/>
      <c r="G20" s="9" t="str">
        <f aca="false">IF($A20="","",INDEX('ارز و هزینه‌ها'!$C$9:$C$16,MATCH($B20,'ارز و هزینه‌ها'!$A$9:$A$16,0)))</f>
        <v/>
      </c>
      <c r="H20" s="9" t="str">
        <f aca="false">IF($A20="","",$C20*$D20*$G20)</f>
        <v/>
      </c>
      <c r="I20" s="18" t="str">
        <f aca="false">IF($A20="","",IF('ارز و هزینه‌ها'!$B$25="وزن کالا",IF(SUM($E$5:$E$29)=0,0,$E20/SUM($E$5:$E$29)),IF(SUM($H$5:$H$29)=0,0,$H20/SUM($H$5:$H$29))))</f>
        <v/>
      </c>
      <c r="J20" s="9" t="str">
        <f aca="false">IF($A20="","",'ارز و هزینه‌ها'!$B$21*INDEX('ارز و هزینه‌ها'!$C$9:$C$16,MATCH('ارز و هزینه‌ها'!$C$21,'ارز و هزینه‌ها'!$A$9:$A$16,0))*$I20)</f>
        <v/>
      </c>
      <c r="K20" s="9" t="str">
        <f aca="false">IF($A20="","",'ارز و هزینه‌ها'!$B$22*INDEX('ارز و هزینه‌ها'!$C$9:$C$16,MATCH('ارز و هزینه‌ها'!$C$22,'ارز و هزینه‌ها'!$A$9:$A$16,0))*$I20)</f>
        <v/>
      </c>
      <c r="L20" s="9" t="str">
        <f aca="false">IF($A20="","",'ارز و هزینه‌ها'!$B$23*INDEX('ارز و هزینه‌ها'!$C$9:$C$16,MATCH('ارز و هزینه‌ها'!$C$23,'ارز و هزینه‌ها'!$A$9:$A$16,0))*$I20)</f>
        <v/>
      </c>
      <c r="M20" s="9" t="str">
        <f aca="false">IF($A20="","",$H20+$J20+$K20+$L20)</f>
        <v/>
      </c>
      <c r="N20" s="9" t="str">
        <f aca="false">IF($A20="","",IF($D20=0,0,$M20/$D20))</f>
        <v/>
      </c>
      <c r="O20" s="9" t="str">
        <f aca="false">IF($A20="","",$F20-$N20)</f>
        <v/>
      </c>
      <c r="P20" s="18" t="str">
        <f aca="false">IF($A20="","",IF($F20=0,0,$O20/$F20))</f>
        <v/>
      </c>
      <c r="Q20" s="9" t="str">
        <f aca="false">IF($A20="","",$O20*$D20)</f>
        <v/>
      </c>
      <c r="R20" s="9" t="str">
        <f aca="false">IF($A20="","",$N20)</f>
        <v/>
      </c>
      <c r="S20" s="9" t="str">
        <f aca="false">IF($A20="","",IF(1-'ارز و هزینه‌ها'!$B$26&lt;=0,0,$N20/(1-'ارز و هزینه‌ها'!$B$26)))</f>
        <v/>
      </c>
    </row>
    <row r="21" customFormat="false" ht="15" hidden="false" customHeight="false" outlineLevel="0" collapsed="false">
      <c r="A21" s="11"/>
      <c r="B21" s="11"/>
      <c r="C21" s="16"/>
      <c r="D21" s="5"/>
      <c r="E21" s="17"/>
      <c r="F21" s="5"/>
      <c r="G21" s="9" t="str">
        <f aca="false">IF($A21="","",INDEX('ارز و هزینه‌ها'!$C$9:$C$16,MATCH($B21,'ارز و هزینه‌ها'!$A$9:$A$16,0)))</f>
        <v/>
      </c>
      <c r="H21" s="9" t="str">
        <f aca="false">IF($A21="","",$C21*$D21*$G21)</f>
        <v/>
      </c>
      <c r="I21" s="18" t="str">
        <f aca="false">IF($A21="","",IF('ارز و هزینه‌ها'!$B$25="وزن کالا",IF(SUM($E$5:$E$29)=0,0,$E21/SUM($E$5:$E$29)),IF(SUM($H$5:$H$29)=0,0,$H21/SUM($H$5:$H$29))))</f>
        <v/>
      </c>
      <c r="J21" s="9" t="str">
        <f aca="false">IF($A21="","",'ارز و هزینه‌ها'!$B$21*INDEX('ارز و هزینه‌ها'!$C$9:$C$16,MATCH('ارز و هزینه‌ها'!$C$21,'ارز و هزینه‌ها'!$A$9:$A$16,0))*$I21)</f>
        <v/>
      </c>
      <c r="K21" s="9" t="str">
        <f aca="false">IF($A21="","",'ارز و هزینه‌ها'!$B$22*INDEX('ارز و هزینه‌ها'!$C$9:$C$16,MATCH('ارز و هزینه‌ها'!$C$22,'ارز و هزینه‌ها'!$A$9:$A$16,0))*$I21)</f>
        <v/>
      </c>
      <c r="L21" s="9" t="str">
        <f aca="false">IF($A21="","",'ارز و هزینه‌ها'!$B$23*INDEX('ارز و هزینه‌ها'!$C$9:$C$16,MATCH('ارز و هزینه‌ها'!$C$23,'ارز و هزینه‌ها'!$A$9:$A$16,0))*$I21)</f>
        <v/>
      </c>
      <c r="M21" s="9" t="str">
        <f aca="false">IF($A21="","",$H21+$J21+$K21+$L21)</f>
        <v/>
      </c>
      <c r="N21" s="9" t="str">
        <f aca="false">IF($A21="","",IF($D21=0,0,$M21/$D21))</f>
        <v/>
      </c>
      <c r="O21" s="9" t="str">
        <f aca="false">IF($A21="","",$F21-$N21)</f>
        <v/>
      </c>
      <c r="P21" s="18" t="str">
        <f aca="false">IF($A21="","",IF($F21=0,0,$O21/$F21))</f>
        <v/>
      </c>
      <c r="Q21" s="9" t="str">
        <f aca="false">IF($A21="","",$O21*$D21)</f>
        <v/>
      </c>
      <c r="R21" s="9" t="str">
        <f aca="false">IF($A21="","",$N21)</f>
        <v/>
      </c>
      <c r="S21" s="9" t="str">
        <f aca="false">IF($A21="","",IF(1-'ارز و هزینه‌ها'!$B$26&lt;=0,0,$N21/(1-'ارز و هزینه‌ها'!$B$26)))</f>
        <v/>
      </c>
    </row>
    <row r="22" customFormat="false" ht="15" hidden="false" customHeight="false" outlineLevel="0" collapsed="false">
      <c r="A22" s="11"/>
      <c r="B22" s="11"/>
      <c r="C22" s="16"/>
      <c r="D22" s="5"/>
      <c r="E22" s="17"/>
      <c r="F22" s="5"/>
      <c r="G22" s="9" t="str">
        <f aca="false">IF($A22="","",INDEX('ارز و هزینه‌ها'!$C$9:$C$16,MATCH($B22,'ارز و هزینه‌ها'!$A$9:$A$16,0)))</f>
        <v/>
      </c>
      <c r="H22" s="9" t="str">
        <f aca="false">IF($A22="","",$C22*$D22*$G22)</f>
        <v/>
      </c>
      <c r="I22" s="18" t="str">
        <f aca="false">IF($A22="","",IF('ارز و هزینه‌ها'!$B$25="وزن کالا",IF(SUM($E$5:$E$29)=0,0,$E22/SUM($E$5:$E$29)),IF(SUM($H$5:$H$29)=0,0,$H22/SUM($H$5:$H$29))))</f>
        <v/>
      </c>
      <c r="J22" s="9" t="str">
        <f aca="false">IF($A22="","",'ارز و هزینه‌ها'!$B$21*INDEX('ارز و هزینه‌ها'!$C$9:$C$16,MATCH('ارز و هزینه‌ها'!$C$21,'ارز و هزینه‌ها'!$A$9:$A$16,0))*$I22)</f>
        <v/>
      </c>
      <c r="K22" s="9" t="str">
        <f aca="false">IF($A22="","",'ارز و هزینه‌ها'!$B$22*INDEX('ارز و هزینه‌ها'!$C$9:$C$16,MATCH('ارز و هزینه‌ها'!$C$22,'ارز و هزینه‌ها'!$A$9:$A$16,0))*$I22)</f>
        <v/>
      </c>
      <c r="L22" s="9" t="str">
        <f aca="false">IF($A22="","",'ارز و هزینه‌ها'!$B$23*INDEX('ارز و هزینه‌ها'!$C$9:$C$16,MATCH('ارز و هزینه‌ها'!$C$23,'ارز و هزینه‌ها'!$A$9:$A$16,0))*$I22)</f>
        <v/>
      </c>
      <c r="M22" s="9" t="str">
        <f aca="false">IF($A22="","",$H22+$J22+$K22+$L22)</f>
        <v/>
      </c>
      <c r="N22" s="9" t="str">
        <f aca="false">IF($A22="","",IF($D22=0,0,$M22/$D22))</f>
        <v/>
      </c>
      <c r="O22" s="9" t="str">
        <f aca="false">IF($A22="","",$F22-$N22)</f>
        <v/>
      </c>
      <c r="P22" s="18" t="str">
        <f aca="false">IF($A22="","",IF($F22=0,0,$O22/$F22))</f>
        <v/>
      </c>
      <c r="Q22" s="9" t="str">
        <f aca="false">IF($A22="","",$O22*$D22)</f>
        <v/>
      </c>
      <c r="R22" s="9" t="str">
        <f aca="false">IF($A22="","",$N22)</f>
        <v/>
      </c>
      <c r="S22" s="9" t="str">
        <f aca="false">IF($A22="","",IF(1-'ارز و هزینه‌ها'!$B$26&lt;=0,0,$N22/(1-'ارز و هزینه‌ها'!$B$26)))</f>
        <v/>
      </c>
    </row>
    <row r="23" customFormat="false" ht="15" hidden="false" customHeight="false" outlineLevel="0" collapsed="false">
      <c r="A23" s="11"/>
      <c r="B23" s="11"/>
      <c r="C23" s="16"/>
      <c r="D23" s="5"/>
      <c r="E23" s="17"/>
      <c r="F23" s="5"/>
      <c r="G23" s="9" t="str">
        <f aca="false">IF($A23="","",INDEX('ارز و هزینه‌ها'!$C$9:$C$16,MATCH($B23,'ارز و هزینه‌ها'!$A$9:$A$16,0)))</f>
        <v/>
      </c>
      <c r="H23" s="9" t="str">
        <f aca="false">IF($A23="","",$C23*$D23*$G23)</f>
        <v/>
      </c>
      <c r="I23" s="18" t="str">
        <f aca="false">IF($A23="","",IF('ارز و هزینه‌ها'!$B$25="وزن کالا",IF(SUM($E$5:$E$29)=0,0,$E23/SUM($E$5:$E$29)),IF(SUM($H$5:$H$29)=0,0,$H23/SUM($H$5:$H$29))))</f>
        <v/>
      </c>
      <c r="J23" s="9" t="str">
        <f aca="false">IF($A23="","",'ارز و هزینه‌ها'!$B$21*INDEX('ارز و هزینه‌ها'!$C$9:$C$16,MATCH('ارز و هزینه‌ها'!$C$21,'ارز و هزینه‌ها'!$A$9:$A$16,0))*$I23)</f>
        <v/>
      </c>
      <c r="K23" s="9" t="str">
        <f aca="false">IF($A23="","",'ارز و هزینه‌ها'!$B$22*INDEX('ارز و هزینه‌ها'!$C$9:$C$16,MATCH('ارز و هزینه‌ها'!$C$22,'ارز و هزینه‌ها'!$A$9:$A$16,0))*$I23)</f>
        <v/>
      </c>
      <c r="L23" s="9" t="str">
        <f aca="false">IF($A23="","",'ارز و هزینه‌ها'!$B$23*INDEX('ارز و هزینه‌ها'!$C$9:$C$16,MATCH('ارز و هزینه‌ها'!$C$23,'ارز و هزینه‌ها'!$A$9:$A$16,0))*$I23)</f>
        <v/>
      </c>
      <c r="M23" s="9" t="str">
        <f aca="false">IF($A23="","",$H23+$J23+$K23+$L23)</f>
        <v/>
      </c>
      <c r="N23" s="9" t="str">
        <f aca="false">IF($A23="","",IF($D23=0,0,$M23/$D23))</f>
        <v/>
      </c>
      <c r="O23" s="9" t="str">
        <f aca="false">IF($A23="","",$F23-$N23)</f>
        <v/>
      </c>
      <c r="P23" s="18" t="str">
        <f aca="false">IF($A23="","",IF($F23=0,0,$O23/$F23))</f>
        <v/>
      </c>
      <c r="Q23" s="9" t="str">
        <f aca="false">IF($A23="","",$O23*$D23)</f>
        <v/>
      </c>
      <c r="R23" s="9" t="str">
        <f aca="false">IF($A23="","",$N23)</f>
        <v/>
      </c>
      <c r="S23" s="9" t="str">
        <f aca="false">IF($A23="","",IF(1-'ارز و هزینه‌ها'!$B$26&lt;=0,0,$N23/(1-'ارز و هزینه‌ها'!$B$26)))</f>
        <v/>
      </c>
    </row>
    <row r="24" customFormat="false" ht="15" hidden="false" customHeight="false" outlineLevel="0" collapsed="false">
      <c r="A24" s="11"/>
      <c r="B24" s="11"/>
      <c r="C24" s="16"/>
      <c r="D24" s="5"/>
      <c r="E24" s="17"/>
      <c r="F24" s="5"/>
      <c r="G24" s="9" t="str">
        <f aca="false">IF($A24="","",INDEX('ارز و هزینه‌ها'!$C$9:$C$16,MATCH($B24,'ارز و هزینه‌ها'!$A$9:$A$16,0)))</f>
        <v/>
      </c>
      <c r="H24" s="9" t="str">
        <f aca="false">IF($A24="","",$C24*$D24*$G24)</f>
        <v/>
      </c>
      <c r="I24" s="18" t="str">
        <f aca="false">IF($A24="","",IF('ارز و هزینه‌ها'!$B$25="وزن کالا",IF(SUM($E$5:$E$29)=0,0,$E24/SUM($E$5:$E$29)),IF(SUM($H$5:$H$29)=0,0,$H24/SUM($H$5:$H$29))))</f>
        <v/>
      </c>
      <c r="J24" s="9" t="str">
        <f aca="false">IF($A24="","",'ارز و هزینه‌ها'!$B$21*INDEX('ارز و هزینه‌ها'!$C$9:$C$16,MATCH('ارز و هزینه‌ها'!$C$21,'ارز و هزینه‌ها'!$A$9:$A$16,0))*$I24)</f>
        <v/>
      </c>
      <c r="K24" s="9" t="str">
        <f aca="false">IF($A24="","",'ارز و هزینه‌ها'!$B$22*INDEX('ارز و هزینه‌ها'!$C$9:$C$16,MATCH('ارز و هزینه‌ها'!$C$22,'ارز و هزینه‌ها'!$A$9:$A$16,0))*$I24)</f>
        <v/>
      </c>
      <c r="L24" s="9" t="str">
        <f aca="false">IF($A24="","",'ارز و هزینه‌ها'!$B$23*INDEX('ارز و هزینه‌ها'!$C$9:$C$16,MATCH('ارز و هزینه‌ها'!$C$23,'ارز و هزینه‌ها'!$A$9:$A$16,0))*$I24)</f>
        <v/>
      </c>
      <c r="M24" s="9" t="str">
        <f aca="false">IF($A24="","",$H24+$J24+$K24+$L24)</f>
        <v/>
      </c>
      <c r="N24" s="9" t="str">
        <f aca="false">IF($A24="","",IF($D24=0,0,$M24/$D24))</f>
        <v/>
      </c>
      <c r="O24" s="9" t="str">
        <f aca="false">IF($A24="","",$F24-$N24)</f>
        <v/>
      </c>
      <c r="P24" s="18" t="str">
        <f aca="false">IF($A24="","",IF($F24=0,0,$O24/$F24))</f>
        <v/>
      </c>
      <c r="Q24" s="9" t="str">
        <f aca="false">IF($A24="","",$O24*$D24)</f>
        <v/>
      </c>
      <c r="R24" s="9" t="str">
        <f aca="false">IF($A24="","",$N24)</f>
        <v/>
      </c>
      <c r="S24" s="9" t="str">
        <f aca="false">IF($A24="","",IF(1-'ارز و هزینه‌ها'!$B$26&lt;=0,0,$N24/(1-'ارز و هزینه‌ها'!$B$26)))</f>
        <v/>
      </c>
    </row>
    <row r="25" customFormat="false" ht="15" hidden="false" customHeight="false" outlineLevel="0" collapsed="false">
      <c r="A25" s="11"/>
      <c r="B25" s="11"/>
      <c r="C25" s="16"/>
      <c r="D25" s="5"/>
      <c r="E25" s="17"/>
      <c r="F25" s="5"/>
      <c r="G25" s="9" t="str">
        <f aca="false">IF($A25="","",INDEX('ارز و هزینه‌ها'!$C$9:$C$16,MATCH($B25,'ارز و هزینه‌ها'!$A$9:$A$16,0)))</f>
        <v/>
      </c>
      <c r="H25" s="9" t="str">
        <f aca="false">IF($A25="","",$C25*$D25*$G25)</f>
        <v/>
      </c>
      <c r="I25" s="18" t="str">
        <f aca="false">IF($A25="","",IF('ارز و هزینه‌ها'!$B$25="وزن کالا",IF(SUM($E$5:$E$29)=0,0,$E25/SUM($E$5:$E$29)),IF(SUM($H$5:$H$29)=0,0,$H25/SUM($H$5:$H$29))))</f>
        <v/>
      </c>
      <c r="J25" s="9" t="str">
        <f aca="false">IF($A25="","",'ارز و هزینه‌ها'!$B$21*INDEX('ارز و هزینه‌ها'!$C$9:$C$16,MATCH('ارز و هزینه‌ها'!$C$21,'ارز و هزینه‌ها'!$A$9:$A$16,0))*$I25)</f>
        <v/>
      </c>
      <c r="K25" s="9" t="str">
        <f aca="false">IF($A25="","",'ارز و هزینه‌ها'!$B$22*INDEX('ارز و هزینه‌ها'!$C$9:$C$16,MATCH('ارز و هزینه‌ها'!$C$22,'ارز و هزینه‌ها'!$A$9:$A$16,0))*$I25)</f>
        <v/>
      </c>
      <c r="L25" s="9" t="str">
        <f aca="false">IF($A25="","",'ارز و هزینه‌ها'!$B$23*INDEX('ارز و هزینه‌ها'!$C$9:$C$16,MATCH('ارز و هزینه‌ها'!$C$23,'ارز و هزینه‌ها'!$A$9:$A$16,0))*$I25)</f>
        <v/>
      </c>
      <c r="M25" s="9" t="str">
        <f aca="false">IF($A25="","",$H25+$J25+$K25+$L25)</f>
        <v/>
      </c>
      <c r="N25" s="9" t="str">
        <f aca="false">IF($A25="","",IF($D25=0,0,$M25/$D25))</f>
        <v/>
      </c>
      <c r="O25" s="9" t="str">
        <f aca="false">IF($A25="","",$F25-$N25)</f>
        <v/>
      </c>
      <c r="P25" s="18" t="str">
        <f aca="false">IF($A25="","",IF($F25=0,0,$O25/$F25))</f>
        <v/>
      </c>
      <c r="Q25" s="9" t="str">
        <f aca="false">IF($A25="","",$O25*$D25)</f>
        <v/>
      </c>
      <c r="R25" s="9" t="str">
        <f aca="false">IF($A25="","",$N25)</f>
        <v/>
      </c>
      <c r="S25" s="9" t="str">
        <f aca="false">IF($A25="","",IF(1-'ارز و هزینه‌ها'!$B$26&lt;=0,0,$N25/(1-'ارز و هزینه‌ها'!$B$26)))</f>
        <v/>
      </c>
    </row>
    <row r="26" customFormat="false" ht="15" hidden="false" customHeight="false" outlineLevel="0" collapsed="false">
      <c r="A26" s="11"/>
      <c r="B26" s="11"/>
      <c r="C26" s="16"/>
      <c r="D26" s="5"/>
      <c r="E26" s="17"/>
      <c r="F26" s="5"/>
      <c r="G26" s="9" t="str">
        <f aca="false">IF($A26="","",INDEX('ارز و هزینه‌ها'!$C$9:$C$16,MATCH($B26,'ارز و هزینه‌ها'!$A$9:$A$16,0)))</f>
        <v/>
      </c>
      <c r="H26" s="9" t="str">
        <f aca="false">IF($A26="","",$C26*$D26*$G26)</f>
        <v/>
      </c>
      <c r="I26" s="18" t="str">
        <f aca="false">IF($A26="","",IF('ارز و هزینه‌ها'!$B$25="وزن کالا",IF(SUM($E$5:$E$29)=0,0,$E26/SUM($E$5:$E$29)),IF(SUM($H$5:$H$29)=0,0,$H26/SUM($H$5:$H$29))))</f>
        <v/>
      </c>
      <c r="J26" s="9" t="str">
        <f aca="false">IF($A26="","",'ارز و هزینه‌ها'!$B$21*INDEX('ارز و هزینه‌ها'!$C$9:$C$16,MATCH('ارز و هزینه‌ها'!$C$21,'ارز و هزینه‌ها'!$A$9:$A$16,0))*$I26)</f>
        <v/>
      </c>
      <c r="K26" s="9" t="str">
        <f aca="false">IF($A26="","",'ارز و هزینه‌ها'!$B$22*INDEX('ارز و هزینه‌ها'!$C$9:$C$16,MATCH('ارز و هزینه‌ها'!$C$22,'ارز و هزینه‌ها'!$A$9:$A$16,0))*$I26)</f>
        <v/>
      </c>
      <c r="L26" s="9" t="str">
        <f aca="false">IF($A26="","",'ارز و هزینه‌ها'!$B$23*INDEX('ارز و هزینه‌ها'!$C$9:$C$16,MATCH('ارز و هزینه‌ها'!$C$23,'ارز و هزینه‌ها'!$A$9:$A$16,0))*$I26)</f>
        <v/>
      </c>
      <c r="M26" s="9" t="str">
        <f aca="false">IF($A26="","",$H26+$J26+$K26+$L26)</f>
        <v/>
      </c>
      <c r="N26" s="9" t="str">
        <f aca="false">IF($A26="","",IF($D26=0,0,$M26/$D26))</f>
        <v/>
      </c>
      <c r="O26" s="9" t="str">
        <f aca="false">IF($A26="","",$F26-$N26)</f>
        <v/>
      </c>
      <c r="P26" s="18" t="str">
        <f aca="false">IF($A26="","",IF($F26=0,0,$O26/$F26))</f>
        <v/>
      </c>
      <c r="Q26" s="9" t="str">
        <f aca="false">IF($A26="","",$O26*$D26)</f>
        <v/>
      </c>
      <c r="R26" s="9" t="str">
        <f aca="false">IF($A26="","",$N26)</f>
        <v/>
      </c>
      <c r="S26" s="9" t="str">
        <f aca="false">IF($A26="","",IF(1-'ارز و هزینه‌ها'!$B$26&lt;=0,0,$N26/(1-'ارز و هزینه‌ها'!$B$26)))</f>
        <v/>
      </c>
    </row>
    <row r="27" customFormat="false" ht="15" hidden="false" customHeight="false" outlineLevel="0" collapsed="false">
      <c r="A27" s="11"/>
      <c r="B27" s="11"/>
      <c r="C27" s="16"/>
      <c r="D27" s="5"/>
      <c r="E27" s="17"/>
      <c r="F27" s="5"/>
      <c r="G27" s="9" t="str">
        <f aca="false">IF($A27="","",INDEX('ارز و هزینه‌ها'!$C$9:$C$16,MATCH($B27,'ارز و هزینه‌ها'!$A$9:$A$16,0)))</f>
        <v/>
      </c>
      <c r="H27" s="9" t="str">
        <f aca="false">IF($A27="","",$C27*$D27*$G27)</f>
        <v/>
      </c>
      <c r="I27" s="18" t="str">
        <f aca="false">IF($A27="","",IF('ارز و هزینه‌ها'!$B$25="وزن کالا",IF(SUM($E$5:$E$29)=0,0,$E27/SUM($E$5:$E$29)),IF(SUM($H$5:$H$29)=0,0,$H27/SUM($H$5:$H$29))))</f>
        <v/>
      </c>
      <c r="J27" s="9" t="str">
        <f aca="false">IF($A27="","",'ارز و هزینه‌ها'!$B$21*INDEX('ارز و هزینه‌ها'!$C$9:$C$16,MATCH('ارز و هزینه‌ها'!$C$21,'ارز و هزینه‌ها'!$A$9:$A$16,0))*$I27)</f>
        <v/>
      </c>
      <c r="K27" s="9" t="str">
        <f aca="false">IF($A27="","",'ارز و هزینه‌ها'!$B$22*INDEX('ارز و هزینه‌ها'!$C$9:$C$16,MATCH('ارز و هزینه‌ها'!$C$22,'ارز و هزینه‌ها'!$A$9:$A$16,0))*$I27)</f>
        <v/>
      </c>
      <c r="L27" s="9" t="str">
        <f aca="false">IF($A27="","",'ارز و هزینه‌ها'!$B$23*INDEX('ارز و هزینه‌ها'!$C$9:$C$16,MATCH('ارز و هزینه‌ها'!$C$23,'ارز و هزینه‌ها'!$A$9:$A$16,0))*$I27)</f>
        <v/>
      </c>
      <c r="M27" s="9" t="str">
        <f aca="false">IF($A27="","",$H27+$J27+$K27+$L27)</f>
        <v/>
      </c>
      <c r="N27" s="9" t="str">
        <f aca="false">IF($A27="","",IF($D27=0,0,$M27/$D27))</f>
        <v/>
      </c>
      <c r="O27" s="9" t="str">
        <f aca="false">IF($A27="","",$F27-$N27)</f>
        <v/>
      </c>
      <c r="P27" s="18" t="str">
        <f aca="false">IF($A27="","",IF($F27=0,0,$O27/$F27))</f>
        <v/>
      </c>
      <c r="Q27" s="9" t="str">
        <f aca="false">IF($A27="","",$O27*$D27)</f>
        <v/>
      </c>
      <c r="R27" s="9" t="str">
        <f aca="false">IF($A27="","",$N27)</f>
        <v/>
      </c>
      <c r="S27" s="9" t="str">
        <f aca="false">IF($A27="","",IF(1-'ارز و هزینه‌ها'!$B$26&lt;=0,0,$N27/(1-'ارز و هزینه‌ها'!$B$26)))</f>
        <v/>
      </c>
    </row>
    <row r="28" customFormat="false" ht="15" hidden="false" customHeight="false" outlineLevel="0" collapsed="false">
      <c r="A28" s="11"/>
      <c r="B28" s="11"/>
      <c r="C28" s="16"/>
      <c r="D28" s="5"/>
      <c r="E28" s="17"/>
      <c r="F28" s="5"/>
      <c r="G28" s="9" t="str">
        <f aca="false">IF($A28="","",INDEX('ارز و هزینه‌ها'!$C$9:$C$16,MATCH($B28,'ارز و هزینه‌ها'!$A$9:$A$16,0)))</f>
        <v/>
      </c>
      <c r="H28" s="9" t="str">
        <f aca="false">IF($A28="","",$C28*$D28*$G28)</f>
        <v/>
      </c>
      <c r="I28" s="18" t="str">
        <f aca="false">IF($A28="","",IF('ارز و هزینه‌ها'!$B$25="وزن کالا",IF(SUM($E$5:$E$29)=0,0,$E28/SUM($E$5:$E$29)),IF(SUM($H$5:$H$29)=0,0,$H28/SUM($H$5:$H$29))))</f>
        <v/>
      </c>
      <c r="J28" s="9" t="str">
        <f aca="false">IF($A28="","",'ارز و هزینه‌ها'!$B$21*INDEX('ارز و هزینه‌ها'!$C$9:$C$16,MATCH('ارز و هزینه‌ها'!$C$21,'ارز و هزینه‌ها'!$A$9:$A$16,0))*$I28)</f>
        <v/>
      </c>
      <c r="K28" s="9" t="str">
        <f aca="false">IF($A28="","",'ارز و هزینه‌ها'!$B$22*INDEX('ارز و هزینه‌ها'!$C$9:$C$16,MATCH('ارز و هزینه‌ها'!$C$22,'ارز و هزینه‌ها'!$A$9:$A$16,0))*$I28)</f>
        <v/>
      </c>
      <c r="L28" s="9" t="str">
        <f aca="false">IF($A28="","",'ارز و هزینه‌ها'!$B$23*INDEX('ارز و هزینه‌ها'!$C$9:$C$16,MATCH('ارز و هزینه‌ها'!$C$23,'ارز و هزینه‌ها'!$A$9:$A$16,0))*$I28)</f>
        <v/>
      </c>
      <c r="M28" s="9" t="str">
        <f aca="false">IF($A28="","",$H28+$J28+$K28+$L28)</f>
        <v/>
      </c>
      <c r="N28" s="9" t="str">
        <f aca="false">IF($A28="","",IF($D28=0,0,$M28/$D28))</f>
        <v/>
      </c>
      <c r="O28" s="9" t="str">
        <f aca="false">IF($A28="","",$F28-$N28)</f>
        <v/>
      </c>
      <c r="P28" s="18" t="str">
        <f aca="false">IF($A28="","",IF($F28=0,0,$O28/$F28))</f>
        <v/>
      </c>
      <c r="Q28" s="9" t="str">
        <f aca="false">IF($A28="","",$O28*$D28)</f>
        <v/>
      </c>
      <c r="R28" s="9" t="str">
        <f aca="false">IF($A28="","",$N28)</f>
        <v/>
      </c>
      <c r="S28" s="9" t="str">
        <f aca="false">IF($A28="","",IF(1-'ارز و هزینه‌ها'!$B$26&lt;=0,0,$N28/(1-'ارز و هزینه‌ها'!$B$26)))</f>
        <v/>
      </c>
    </row>
    <row r="29" customFormat="false" ht="15" hidden="false" customHeight="false" outlineLevel="0" collapsed="false">
      <c r="A29" s="11"/>
      <c r="B29" s="11"/>
      <c r="C29" s="16"/>
      <c r="D29" s="5"/>
      <c r="E29" s="17"/>
      <c r="F29" s="5"/>
      <c r="G29" s="9" t="str">
        <f aca="false">IF($A29="","",INDEX('ارز و هزینه‌ها'!$C$9:$C$16,MATCH($B29,'ارز و هزینه‌ها'!$A$9:$A$16,0)))</f>
        <v/>
      </c>
      <c r="H29" s="9" t="str">
        <f aca="false">IF($A29="","",$C29*$D29*$G29)</f>
        <v/>
      </c>
      <c r="I29" s="18" t="str">
        <f aca="false">IF($A29="","",IF('ارز و هزینه‌ها'!$B$25="وزن کالا",IF(SUM($E$5:$E$29)=0,0,$E29/SUM($E$5:$E$29)),IF(SUM($H$5:$H$29)=0,0,$H29/SUM($H$5:$H$29))))</f>
        <v/>
      </c>
      <c r="J29" s="9" t="str">
        <f aca="false">IF($A29="","",'ارز و هزینه‌ها'!$B$21*INDEX('ارز و هزینه‌ها'!$C$9:$C$16,MATCH('ارز و هزینه‌ها'!$C$21,'ارز و هزینه‌ها'!$A$9:$A$16,0))*$I29)</f>
        <v/>
      </c>
      <c r="K29" s="9" t="str">
        <f aca="false">IF($A29="","",'ارز و هزینه‌ها'!$B$22*INDEX('ارز و هزینه‌ها'!$C$9:$C$16,MATCH('ارز و هزینه‌ها'!$C$22,'ارز و هزینه‌ها'!$A$9:$A$16,0))*$I29)</f>
        <v/>
      </c>
      <c r="L29" s="9" t="str">
        <f aca="false">IF($A29="","",'ارز و هزینه‌ها'!$B$23*INDEX('ارز و هزینه‌ها'!$C$9:$C$16,MATCH('ارز و هزینه‌ها'!$C$23,'ارز و هزینه‌ها'!$A$9:$A$16,0))*$I29)</f>
        <v/>
      </c>
      <c r="M29" s="9" t="str">
        <f aca="false">IF($A29="","",$H29+$J29+$K29+$L29)</f>
        <v/>
      </c>
      <c r="N29" s="9" t="str">
        <f aca="false">IF($A29="","",IF($D29=0,0,$M29/$D29))</f>
        <v/>
      </c>
      <c r="O29" s="9" t="str">
        <f aca="false">IF($A29="","",$F29-$N29)</f>
        <v/>
      </c>
      <c r="P29" s="18" t="str">
        <f aca="false">IF($A29="","",IF($F29=0,0,$O29/$F29))</f>
        <v/>
      </c>
      <c r="Q29" s="9" t="str">
        <f aca="false">IF($A29="","",$O29*$D29)</f>
        <v/>
      </c>
      <c r="R29" s="9" t="str">
        <f aca="false">IF($A29="","",$N29)</f>
        <v/>
      </c>
      <c r="S29" s="9" t="str">
        <f aca="false">IF($A29="","",IF(1-'ارز و هزینه‌ها'!$B$26&lt;=0,0,$N29/(1-'ارز و هزینه‌ها'!$B$26)))</f>
        <v/>
      </c>
    </row>
    <row r="30" customFormat="false" ht="15" hidden="false" customHeight="false" outlineLevel="0" collapsed="false">
      <c r="A30" s="19" t="s">
        <v>63</v>
      </c>
      <c r="B30" s="19"/>
      <c r="C30" s="20"/>
      <c r="D30" s="21" t="n">
        <f aca="false">SUM(D5:D29)</f>
        <v>3400</v>
      </c>
      <c r="E30" s="22" t="n">
        <f aca="false">SUM(E5:E29)</f>
        <v>170</v>
      </c>
      <c r="F30" s="21"/>
      <c r="G30" s="21"/>
      <c r="H30" s="21" t="n">
        <f aca="false">SUM(H5:H29)</f>
        <v>2776008748.88542</v>
      </c>
      <c r="I30" s="23" t="n">
        <f aca="false">SUM(I5:I29)</f>
        <v>1</v>
      </c>
      <c r="J30" s="21" t="n">
        <f aca="false">SUM(J5:J29)</f>
        <v>207000000</v>
      </c>
      <c r="K30" s="21" t="n">
        <f aca="false">SUM(K5:K29)</f>
        <v>1400000000</v>
      </c>
      <c r="L30" s="21" t="n">
        <f aca="false">SUM(L5:L29)</f>
        <v>95000000</v>
      </c>
      <c r="M30" s="21" t="n">
        <f aca="false">SUM(M5:M29)</f>
        <v>4478008748.88542</v>
      </c>
      <c r="N30" s="21"/>
      <c r="O30" s="21"/>
      <c r="P30" s="23" t="n">
        <f aca="false">IF(SUMPRODUCT($F$5:$F$29,$D$5:$D$29)=0,0,$Q$30/SUMPRODUCT($F$5:$F$29,$D$5:$D$29))</f>
        <v>0.379777181594818</v>
      </c>
      <c r="Q30" s="21" t="n">
        <f aca="false">SUM(Q5:Q29)</f>
        <v>2741991251.11458</v>
      </c>
      <c r="R30" s="21"/>
      <c r="S30" s="21"/>
    </row>
    <row r="32" customFormat="false" ht="15" hidden="false" customHeight="false" outlineLevel="0" collapsed="false">
      <c r="A32" s="2" t="s">
        <v>64</v>
      </c>
    </row>
    <row r="33" customFormat="false" ht="15" hidden="false" customHeight="false" outlineLevel="0" collapsed="false">
      <c r="A33" s="2" t="s">
        <v>65</v>
      </c>
    </row>
  </sheetData>
  <dataValidations count="1">
    <dataValidation allowBlank="true" errorStyle="stop" operator="between" showDropDown="false" showErrorMessage="false" showInputMessage="false" sqref="B5:B29" type="list">
      <formula1>"دلار,درهم,یوان,یورو,لیر,پوند,روبل"</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96"/>
  </cols>
  <sheetData>
    <row r="1" customFormat="false" ht="17.35" hidden="false" customHeight="false" outlineLevel="0" collapsed="false">
      <c r="A1" s="1" t="s">
        <v>66</v>
      </c>
    </row>
    <row r="3" customFormat="false" ht="31.5" hidden="false" customHeight="true" outlineLevel="0" collapsed="false">
      <c r="A3" s="4" t="s">
        <v>67</v>
      </c>
      <c r="B3" s="24" t="s">
        <v>68</v>
      </c>
    </row>
    <row r="4" customFormat="false" ht="31.5" hidden="false" customHeight="true" outlineLevel="0" collapsed="false">
      <c r="A4" s="4" t="s">
        <v>69</v>
      </c>
      <c r="B4" s="24" t="s">
        <v>70</v>
      </c>
    </row>
    <row r="5" customFormat="false" ht="31.5" hidden="false" customHeight="true" outlineLevel="0" collapsed="false">
      <c r="A5" s="4" t="s">
        <v>71</v>
      </c>
      <c r="B5" s="24" t="s">
        <v>72</v>
      </c>
    </row>
    <row r="7" customFormat="false" ht="31.5" hidden="false" customHeight="true" outlineLevel="0" collapsed="false">
      <c r="A7" s="4" t="s">
        <v>73</v>
      </c>
      <c r="B7" s="24" t="s">
        <v>74</v>
      </c>
    </row>
    <row r="8" customFormat="false" ht="31.5" hidden="false" customHeight="true" outlineLevel="0" collapsed="false">
      <c r="A8" s="4" t="s">
        <v>75</v>
      </c>
      <c r="B8" s="24" t="s">
        <v>76</v>
      </c>
    </row>
    <row r="9" customFormat="false" ht="31.5" hidden="false" customHeight="true" outlineLevel="0" collapsed="false">
      <c r="A9" s="4" t="s">
        <v>57</v>
      </c>
      <c r="B9" s="24" t="s">
        <v>77</v>
      </c>
    </row>
    <row r="11" customFormat="false" ht="31.5" hidden="false" customHeight="true" outlineLevel="0" collapsed="false">
      <c r="A11" s="4" t="s">
        <v>78</v>
      </c>
      <c r="B11" s="24"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2026-08-25T10:03:53Z</dcterms:created>
  <dc:creator>openpyxl</dc:creator>
  <dc:description/>
  <dc:language>en-US</dc:language>
  <cp:lastModifiedBy/>
  <dcterms:modified xsi:type="dcterms:W3CDTF">2026-08-25T10:03:53Z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