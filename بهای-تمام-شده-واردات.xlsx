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پارامترها" sheetId="1" state="visible" r:id="rId3"/>
    <sheet name="کالاها" sheetId="2" state="visible" r:id="rId4"/>
    <sheet name="خلاصه" sheetId="3" state="visible" r:id="rId5"/>
    <sheet name="راهنما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<sst xmlns="http://schemas.openxmlformats.org/spreadsheetml/2006/main" count="187" uniqueCount="182">
  <si>
    <t xml:space="preserve">پارامترهای محاسبه بهای تمام‌شده واردات</t>
  </si>
  <si>
    <t xml:space="preserve">کالاها از دبی خریداری، به بندرعباس حمل و از آنجا به تهران منتقل می‌شوند.</t>
  </si>
  <si>
    <t xml:space="preserve">۱ — نرخ ارز (بازار آزاد)</t>
  </si>
  <si>
    <t xml:space="preserve">دلار آمریکا → ریال</t>
  </si>
  <si>
    <t xml:space="preserve">نرخ بازار آزاد. نرخ رسمی/نیما را وارد نکنید.</t>
  </si>
  <si>
    <t xml:space="preserve">درهم امارات → ریال</t>
  </si>
  <si>
    <t xml:space="preserve">مبنای اصلی همه محاسبات خرید. از صرافی بگیرید.</t>
  </si>
  <si>
    <t xml:space="preserve">دلار → درهم (نرخ میخکوب)</t>
  </si>
  <si>
    <t xml:space="preserve">درهم به دلار میخکوب است و تقریباً ثابت می‌ماند.</t>
  </si>
  <si>
    <t xml:space="preserve">درهم بر حسب دلار (کنترلی)</t>
  </si>
  <si>
    <t xml:space="preserve">اگر با سلول B6 اختلاف زیاد دارد، یکی از نرخ‌ها اشتباه است.</t>
  </si>
  <si>
    <t xml:space="preserve">نرخ درهم در روز خرید محموله</t>
  </si>
  <si>
    <t xml:space="preserve">برای سنجش ریسک ارزی در شیت «خلاصه» استفاده می‌شود.</t>
  </si>
  <si>
    <t xml:space="preserve">تاریخ و منبع نرخ</t>
  </si>
  <si>
    <t xml:space="preserve">دستی</t>
  </si>
  <si>
    <t xml:space="preserve">مثلاً: ۱۴۰۵/۰۵/۱۶ — صرافی/tgju</t>
  </si>
  <si>
    <t xml:space="preserve">۲ — پارامترهای محموله</t>
  </si>
  <si>
    <t xml:space="preserve">کرایه دبی ← بندرعباس (درهم بر کیلوگرم)</t>
  </si>
  <si>
    <t xml:space="preserve">حمل دریایی گروپاژ. حمل هوایی چند برابر است.</t>
  </si>
  <si>
    <t xml:space="preserve">بیمه (٪ ارزش کالا)</t>
  </si>
  <si>
    <t xml:space="preserve">حقوق ورودی گمرک (٪ ارزش CIF)</t>
  </si>
  <si>
    <t xml:space="preserve">برای لوازم آرایشی معمولاً بالاست — از ترخیص‌کار خود بگیرید.</t>
  </si>
  <si>
    <t xml:space="preserve">حمل بندرعباس ← تهران (ریال بر کیلوگرم)</t>
  </si>
  <si>
    <t xml:space="preserve">ترخیص، انبارداری و اسناد (ریال — کل محموله)</t>
  </si>
  <si>
    <t xml:space="preserve">سایر هزینه‌های محموله (ریال — کل محموله)</t>
  </si>
  <si>
    <t xml:space="preserve">مجوز، برچسب اصالت، آزمایشگاه، حق‌العمل</t>
  </si>
  <si>
    <t xml:space="preserve">جمع هزینه‌های مقطوع محموله</t>
  </si>
  <si>
    <t xml:space="preserve">این مبلغ بین کالاها سرشکن می‌شود.</t>
  </si>
  <si>
    <t xml:space="preserve">مبنای سرشکن‌کردن هزینه‌های مقطوع</t>
  </si>
  <si>
    <t xml:space="preserve">وزن</t>
  </si>
  <si>
    <t xml:space="preserve">«وزن» یا «ارزش» — از فهرست کشویی انتخاب کنید.</t>
  </si>
  <si>
    <t xml:space="preserve">ارزش افزوده (٪)</t>
  </si>
  <si>
    <t xml:space="preserve">ارزش افزوده گمرک جزو بهای تمام‌شده است؟</t>
  </si>
  <si>
    <t xml:space="preserve">خیر</t>
  </si>
  <si>
    <t xml:space="preserve">اگر مؤدی ثبت‌نام‌شده هستید «خیر» (با VAT فروش تهاتر می‌شود).</t>
  </si>
  <si>
    <t xml:space="preserve">ضریب ارزش گمرکی (٪ بالاتر از فاکتور)</t>
  </si>
  <si>
    <t xml:space="preserve">اگر گمرک ارزش را بالاتر از فاکتور شما می‌بندد. صفر = فاکتور مبناست.</t>
  </si>
  <si>
    <t xml:space="preserve">حاشیه سود هدف (٪)</t>
  </si>
  <si>
    <t xml:space="preserve">مبنای ستون «قیمت پیشنهادی» در شیت کالاها.</t>
  </si>
  <si>
    <t xml:space="preserve">راهنمای رنگ‌ها</t>
  </si>
  <si>
    <t xml:space="preserve">متن آبی روی زمینه زرد = سلول ورودی؛ فقط این‌ها را تغییر دهید.</t>
  </si>
  <si>
    <t xml:space="preserve">متن سیاه = فرمول؛ دست نزنید.</t>
  </si>
  <si>
    <t xml:space="preserve">متن سبز = ارجاع به شیت دیگر.</t>
  </si>
  <si>
    <t xml:space="preserve">هشدار درباره نرخ ارز</t>
  </si>
  <si>
    <t xml:space="preserve">سرویس‌های عمومی ارز (Google، exchangerate و مانند آن) نرخ «رسمی» ریال را می‌دهند، نه نرخ «بازار آزاد».</t>
  </si>
  <si>
    <t xml:space="preserve">اگر بهای تمام‌شده را با نرخ رسمی حساب کنید، عدد چند برابر کمتر از واقعیت درمی‌آید و کالا را زیر قیمت می‌فروشید.</t>
  </si>
  <si>
    <t xml:space="preserve">همیشه نرخ آزاد روز را از صرافی یا بازار بگیرید و در سلول B6 وارد کنید.</t>
  </si>
  <si>
    <t xml:space="preserve">بهای تمام‌شده و سود هر کالا</t>
  </si>
  <si>
    <t xml:space="preserve">فقط ستون‌های آبی/زرد (A تا L) را پر کنید؛ بقیه خودکار محاسبه می‌شوند.</t>
  </si>
  <si>
    <t xml:space="preserve">نام محصول</t>
  </si>
  <si>
    <t xml:space="preserve">قیمت خرید هر واحد
(درهم)</t>
  </si>
  <si>
    <t xml:space="preserve">تعداد</t>
  </si>
  <si>
    <t xml:space="preserve">وزن کل
(کیلوگرم)</t>
  </si>
  <si>
    <t xml:space="preserve">ارزش گمرکی هر واحد
(درهم)</t>
  </si>
  <si>
    <t xml:space="preserve">تعرفه این کالا
(٪)</t>
  </si>
  <si>
    <t xml:space="preserve">ضایعات و مرجوعی
(٪)</t>
  </si>
  <si>
    <t xml:space="preserve">هزینه جانبی هر واحد
(ریال)</t>
  </si>
  <si>
    <t xml:space="preserve">قیمت روز بازار تهران
(ریال)</t>
  </si>
  <si>
    <t xml:space="preserve">قیمت فروش من
(ریال، با VAT)</t>
  </si>
  <si>
    <t xml:space="preserve">هزینه فروش
(٪)</t>
  </si>
  <si>
    <t xml:space="preserve">روز خرید
تا فروش</t>
  </si>
  <si>
    <t xml:space="preserve">تعداد قابل فروش</t>
  </si>
  <si>
    <t xml:space="preserve">تعرفه اعمال‌شده
(٪)</t>
  </si>
  <si>
    <t xml:space="preserve">ارزش کالا FOB
(ریال)</t>
  </si>
  <si>
    <t xml:space="preserve">کرایه دریایی
(ریال)</t>
  </si>
  <si>
    <t xml:space="preserve">بیمه
(ریال)</t>
  </si>
  <si>
    <t xml:space="preserve">ارزش CIF فاکتور
(ریال)</t>
  </si>
  <si>
    <t xml:space="preserve">پایه ارزش گمرکی
(ریال)</t>
  </si>
  <si>
    <t xml:space="preserve">حقوق ورودی گمرک
(ریال)</t>
  </si>
  <si>
    <t xml:space="preserve">حمل داخلی
(ریال)</t>
  </si>
  <si>
    <t xml:space="preserve">سهم از هزینه‌های مقطوع
(ریال)</t>
  </si>
  <si>
    <t xml:space="preserve">هزینه جانبی کل
(ریال)</t>
  </si>
  <si>
    <t xml:space="preserve">ارزش افزوده گمرک
(ریال)</t>
  </si>
  <si>
    <t xml:space="preserve">بهای تمام‌شده کل
(ریال)</t>
  </si>
  <si>
    <t xml:space="preserve">بهای تمام‌شده هر واحد
(ریال)</t>
  </si>
  <si>
    <t xml:space="preserve">فروش خالص هر واحد
(ریال)</t>
  </si>
  <si>
    <t xml:space="preserve">هزینه فروش هر واحد
(ریال)</t>
  </si>
  <si>
    <t xml:space="preserve">درآمد خالص ردیف
(ریال)</t>
  </si>
  <si>
    <t xml:space="preserve">سود در دسترس
(ریال)</t>
  </si>
  <si>
    <t xml:space="preserve">سود کل ردیف
(ریال)</t>
  </si>
  <si>
    <t xml:space="preserve">سود هر واحد
(ریال)</t>
  </si>
  <si>
    <t xml:space="preserve">حاشیه سود
(٪)</t>
  </si>
  <si>
    <t xml:space="preserve">نقطه سربه‌سر
قیمت فروش (ریال)</t>
  </si>
  <si>
    <t xml:space="preserve">قیمت پیشنهادی
حاشیه هدف (ریال)</t>
  </si>
  <si>
    <t xml:space="preserve">نرخ درهم سربه‌سر
(ریال)</t>
  </si>
  <si>
    <t xml:space="preserve">حاشیه امنیت ارزی
(٪)</t>
  </si>
  <si>
    <t xml:space="preserve">بازده سالانه‌شده
(٪)</t>
  </si>
  <si>
    <t xml:space="preserve">فاصله تا بازار تهران
(٪)</t>
  </si>
  <si>
    <t xml:space="preserve">ارزش CIF درهمی
(کمکی)</t>
  </si>
  <si>
    <t xml:space="preserve">پایه گمرکی درهمی
(کمکی)</t>
  </si>
  <si>
    <t xml:space="preserve">ضریب ارزی A
(کمکی)</t>
  </si>
  <si>
    <t xml:space="preserve">ثابت ریالی B
(کمکی)</t>
  </si>
  <si>
    <t xml:space="preserve">کرم پودر (۳۰ میلی‌لیتر)</t>
  </si>
  <si>
    <t xml:space="preserve">رژ لب مایع</t>
  </si>
  <si>
    <t xml:space="preserve">پالت سایه چشم</t>
  </si>
  <si>
    <t xml:space="preserve">سرم ویتامین ث (۳۰ میلی‌لیتر)</t>
  </si>
  <si>
    <t xml:space="preserve">ریمل حجم‌دهنده</t>
  </si>
  <si>
    <t xml:space="preserve">جمع</t>
  </si>
  <si>
    <t xml:space="preserve">ستون‌های «کمکی» (AN تا AQ) برای حل معادله نرخ سربه‌سر لازم‌اند: بهای تمام‌شده = A×نرخ درهم + B. می‌توانید آن‌ها را پنهان کنید اما حذف نکنید.</t>
  </si>
  <si>
    <t xml:space="preserve">ستون «تعرفه این کالا» را خالی بگذارید تا از درصد کلی محموله استفاده شود؛ صفر یعنی واقعاً تعرفه صفر.</t>
  </si>
  <si>
    <t xml:space="preserve">ستون «ارزش گمرکی هر واحد» را خالی بگذارید تا ارزش فاکتور (با ضریب سلول B23) مبنا شود.</t>
  </si>
  <si>
    <t xml:space="preserve">خلاصه محموله</t>
  </si>
  <si>
    <t xml:space="preserve">سرمایه و حجم</t>
  </si>
  <si>
    <t xml:space="preserve">ریال</t>
  </si>
  <si>
    <t xml:space="preserve">تومان</t>
  </si>
  <si>
    <t xml:space="preserve">ارزش خرید از دبی (درهم)</t>
  </si>
  <si>
    <t xml:space="preserve">قیمت خرید × تعداد، جمع همه کالاها</t>
  </si>
  <si>
    <t xml:space="preserve">وزن کل محموله (کیلوگرم)</t>
  </si>
  <si>
    <t xml:space="preserve">تعداد خریداری‌شده</t>
  </si>
  <si>
    <t xml:space="preserve">پس از کسر ضایعات و مرجوعی</t>
  </si>
  <si>
    <t xml:space="preserve">پایه ارزش گمرکی</t>
  </si>
  <si>
    <t xml:space="preserve">عددی که گمرک روی آن حق ورودی می‌بندد</t>
  </si>
  <si>
    <t xml:space="preserve">بهای تمام‌شده کالا (بدون VAT)</t>
  </si>
  <si>
    <t xml:space="preserve">کالا + کرایه + بیمه + حقوق ورودی + حمل داخلی + ترخیص + جانبی</t>
  </si>
  <si>
    <t xml:space="preserve">ارزش افزوده گمرک</t>
  </si>
  <si>
    <t xml:space="preserve">اگر مؤدی ثبت‌نام‌شده باشید با VAT فروش تهاتر می‌شود</t>
  </si>
  <si>
    <t xml:space="preserve">کل وجه پرداختی (سرمایه لازم)</t>
  </si>
  <si>
    <t xml:space="preserve">نقدینگی‌ای که باید تأمین شود</t>
  </si>
  <si>
    <t xml:space="preserve">فروش و سود</t>
  </si>
  <si>
    <t xml:space="preserve">فروش خالص (بدون VAT)</t>
  </si>
  <si>
    <t xml:space="preserve">فقط اقلام سالم، بدون ارزش افزوده</t>
  </si>
  <si>
    <t xml:space="preserve">سود ناخالص</t>
  </si>
  <si>
    <t xml:space="preserve">پس از کسر بهای تمام‌شده و هزینه فروش</t>
  </si>
  <si>
    <t xml:space="preserve">حاشیه سود کل</t>
  </si>
  <si>
    <t xml:space="preserve">سود ÷ فروش خالص</t>
  </si>
  <si>
    <t xml:space="preserve">بازده سرمایه (ROI)</t>
  </si>
  <si>
    <t xml:space="preserve">سود ÷ بهای تمام‌شده</t>
  </si>
  <si>
    <t xml:space="preserve">میانگین روز درگیری سرمایه</t>
  </si>
  <si>
    <t xml:space="preserve">میانگین وزنی بر مبنای سرمایه هر کالا</t>
  </si>
  <si>
    <t xml:space="preserve">بازده سالانه‌شده</t>
  </si>
  <si>
    <t xml:space="preserve">بازده × ۳۶۵ ÷ روز. فرض می‌کند سرمایه بلافاصله دوباره به کار می‌افتد.</t>
  </si>
  <si>
    <t xml:space="preserve">ریسک ارزی</t>
  </si>
  <si>
    <t xml:space="preserve">نرخ درهم سربه‌سر کل سبد (ریال)</t>
  </si>
  <si>
    <t xml:space="preserve">بالاتر از این نرخ، کل محموله با قیمت‌های فروش فعلی زیان‌ده می‌شود.</t>
  </si>
  <si>
    <t xml:space="preserve">نرخ درهم امروز (ریال)</t>
  </si>
  <si>
    <t xml:space="preserve">حاشیه امنیت ارزی</t>
  </si>
  <si>
    <t xml:space="preserve">ریال تا این درصد می‌تواند بی‌ارزش شود و هنوز ضرر نکنید.</t>
  </si>
  <si>
    <t xml:space="preserve">اثر تغییر نرخ از روز خرید تا امروز</t>
  </si>
  <si>
    <t xml:space="preserve">اگر همین محموله را امروز دوباره بخرید، این مبلغ گران‌تر تمام می‌شود.</t>
  </si>
  <si>
    <t xml:space="preserve">سود دفتری (بر مبنای نرخ روز خرید)</t>
  </si>
  <si>
    <t xml:space="preserve">عددی که دفترها نشان می‌دهند — با نرخی که واقعاً پرداخت کرده‌اید.</t>
  </si>
  <si>
    <t xml:space="preserve">سود واقعی (بر مبنای نرخ امروز)</t>
  </si>
  <si>
    <t xml:space="preserve">سودی که پس از خرید دوباره همان مقدار جنس واقعاً باقی می‌ماند.</t>
  </si>
  <si>
    <t xml:space="preserve">حساسیت سود به نرخ درهم</t>
  </si>
  <si>
    <t xml:space="preserve">تغییر نرخ</t>
  </si>
  <si>
    <t xml:space="preserve">نرخ درهم (ریال)</t>
  </si>
  <si>
    <t xml:space="preserve">بهای تمام‌شده کل (ریال)</t>
  </si>
  <si>
    <t xml:space="preserve">سود کل (ریال)</t>
  </si>
  <si>
    <t xml:space="preserve">حاشیه سود</t>
  </si>
  <si>
    <t xml:space="preserve">توجه: «بازده سالانه‌شده» فرض می‌کند سرمایه بلافاصله در محموله بعدی به کار می‌افتد. در عمل فاصله بین محموله‌ها این عدد را کم می‌کند.</t>
  </si>
  <si>
    <t xml:space="preserve">همه اعداد بر پایه نرخ ارز شیت «پارامترها» است. پیش از هر تصمیم، نرخ روز و تعرفه گمرکی را تأیید کنید.</t>
  </si>
  <si>
    <t xml:space="preserve">راهنمای استفاده</t>
  </si>
  <si>
    <t xml:space="preserve">۱ — نرخ ارز را وارد کنید</t>
  </si>
  <si>
    <t xml:space="preserve">در شیت «پارامترها» سلول B6 (درهم → ریال) را با نرخ بازار آزاد روز پر کنید. همه محاسبات از همین‌جا می‌آید.</t>
  </si>
  <si>
    <t xml:space="preserve">کرایه، بیمه، حقوق ورودی، حمل داخلی و هزینه‌های ترخیص را وارد کنید. این‌ها برای کل محموله مشترک‌اند.</t>
  </si>
  <si>
    <t xml:space="preserve">۳ — کالاها را ثبت کنید</t>
  </si>
  <si>
    <t xml:space="preserve">در شیت «کالاها» ستون‌های A تا I (زمینه زرد) را پر کنید. تا ۲۵ کالا آماده است؛ ردیف‌های خالی نادیده گرفته می‌شوند.</t>
  </si>
  <si>
    <t xml:space="preserve">۴ — نتیجه را بخوانید</t>
  </si>
  <si>
    <t xml:space="preserve">ستون T بهای تمام‌شده هر واحد، ستون X حاشیه سود و ستون AA نرخ درهمی است که در آن آن کالا سربه‌سر می‌شود.</t>
  </si>
  <si>
    <t xml:space="preserve">۵ — خلاصه</t>
  </si>
  <si>
    <t xml:space="preserve">شیت «خلاصه» سرمایه لازم، سود، بازده و ریسک ارزی کل محموله را نشان می‌دهد.</t>
  </si>
  <si>
    <t xml:space="preserve">مسیر هزینه</t>
  </si>
  <si>
    <t xml:space="preserve">دبی (خرید به درهم) ← حمل دریایی ← بندرعباس ← گمرک (حقوق ورودی + ارزش افزوده) ← حمل جاده‌ای ← تهران</t>
  </si>
  <si>
    <t xml:space="preserve">بهای تمام‌شده چیست؟</t>
  </si>
  <si>
    <t xml:space="preserve">کالا + کرایه دریایی + بیمه + حقوق ورودی گمرک + حمل داخلی + سهم ترخیص و هزینه‌های مقطوع + هزینه‌های جانبی.</t>
  </si>
  <si>
    <t xml:space="preserve">سرشکن‌کردن</t>
  </si>
  <si>
    <t xml:space="preserve">هزینه‌های مقطوع (ترخیص، انبارداری، مجوز) بر مبنای وزن یا ارزش بین کالاها تقسیم می‌شود — در سلول B20 انتخاب کنید.</t>
  </si>
  <si>
    <t xml:space="preserve">ارزش افزوده</t>
  </si>
  <si>
    <t xml:space="preserve">قیمت فروش را «با ارزش افزوده» وارد کنید؛ فایل خودش آن را کنار می‌گذارد تا سود واقعی به دست آید.</t>
  </si>
  <si>
    <t xml:space="preserve">نرخ درهم سربه‌سر</t>
  </si>
  <si>
    <t xml:space="preserve">چون بخشی از هزینه‌ها ارزی و بخشی ریالی است، بهای تمام‌شده به‌صورت خطی به نرخ درهم وابسته است: بهای تمام‌شده = A×نرخ + B. حل این معادله نرخی را می‌دهد که در آن سود صفر می‌شود.</t>
  </si>
  <si>
    <t xml:space="preserve">سود دفتری با نرخ روز خرید حساب می‌شود، اما محموله بعدی را با نرخ امروز می‌خرید. شیت «خلاصه» تفاوت این دو را نشان می‌دهد — همان چیزی که در تورم ارزی سرمایه را می‌خورد.</t>
  </si>
  <si>
    <t xml:space="preserve">ارزش گمرکی</t>
  </si>
  <si>
    <t xml:space="preserve">گمرک لزوماً فاکتور شما را مبنا قرار نمی‌دهد و برای بسیاری از کالاها ارزش‌گذاری خودش را دارد. اگر عدد دقیق هر کالا را می‌دانید در ستون E بنویسید؛ اگر فقط تخمین کلی دارید، ستون E را خالی بگذارید و ضریب را در سلول B23 شیت پارامترها وارد کنید. حق ورودی و ارزش افزوده هر دو روی این پایه بسته می‌شوند.</t>
  </si>
  <si>
    <t xml:space="preserve">تعرفه هر کالا</t>
  </si>
  <si>
    <t xml:space="preserve">درصد حقوق ورودی به ردیف تعرفه خودِ کالا بستگی دارد نه به محموله. ستون F را خالی بگذارید تا از درصد کلی (سلول B15) استفاده شود. عدد صفر یعنی واقعاً تعرفه صفر — خالی و صفر یکی نیستند.</t>
  </si>
  <si>
    <t xml:space="preserve">ضایعات و مرجوعی</t>
  </si>
  <si>
    <t xml:space="preserve">پول همه واحدها را داده‌اید ولی همه‌شان به قیمت کامل فروخته نمی‌شوند: شکستگی، نشتی، انقضای نزدیک، مرجوعی و تخفیف آخر فصل. ستون G تعداد قابل فروش را کم می‌کند ولی بهای تمام‌شده را دست نمی‌زند. برای آرایشی معمولاً ۳ تا ۸ درصد منطقی است.</t>
  </si>
  <si>
    <t xml:space="preserve">قیمت پیشنهادی</t>
  </si>
  <si>
    <t xml:space="preserve">حاشیه سود هدف را در سلول B24 شیت پارامترها بگذارید؛ ستون AI قیمت قفسه لازم برای رسیدن به آن حاشیه را می‌دهد، با احتساب ضایعات، هزینه فروش و ارزش افزوده. اگر «حاشیه هدف + هزینه فروش» به ۱۰۰٪ برسد این ستون صفر می‌شود، یعنی آن حاشیه با این ساختار هزینه شدنی نیست.</t>
  </si>
  <si>
    <t xml:space="preserve">هشدار</t>
  </si>
  <si>
    <t xml:space="preserve">همه اعداد پیش‌فرض نمونه‌اند. نرخ ارز را از صرافی و درصد حقوق ورودی را از ترخیص‌کار خود بگیرید.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</si>
</sst>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00"/>
    <numFmt numFmtId="167" formatCode="#,##0.00;\(#,##0.0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sz val="8.5"/>
      <color rgb="FF595959"/>
      <name val="Tahoma"/>
      <family val="0"/>
      <charset val="1"/>
    </font>
    <font>
      <b val="true"/>
      <sz val="11"/>
      <color rgb="FF1F3864"/>
      <name val="Tahoma"/>
      <family val="0"/>
      <charset val="1"/>
    </font>
    <font>
      <sz val="10"/>
      <color rgb="FF00000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9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5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1150000</v>
      </c>
      <c r="C5" s="2" t="s">
        <v>4</v>
      </c>
    </row>
    <row r="6" customFormat="false" ht="15" hidden="false" customHeight="false" outlineLevel="0" collapsed="false">
      <c r="A6" s="4" t="s">
        <v>5</v>
      </c>
      <c r="B6" s="5" t="n">
        <v>313138</v>
      </c>
      <c r="C6" s="2" t="s">
        <v>6</v>
      </c>
    </row>
    <row r="7" customFormat="false" ht="15" hidden="false" customHeight="false" outlineLevel="0" collapsed="false">
      <c r="A7" s="4" t="s">
        <v>7</v>
      </c>
      <c r="B7" s="6" t="n">
        <v>3.6725</v>
      </c>
      <c r="C7" s="2" t="s">
        <v>8</v>
      </c>
    </row>
    <row r="8" customFormat="false" ht="15" hidden="false" customHeight="false" outlineLevel="0" collapsed="false">
      <c r="A8" s="4" t="s">
        <v>9</v>
      </c>
      <c r="B8" s="7" t="n">
        <f aca="false">پارامترها!$B$5/پارامترها!$B$7</f>
        <v>313138.189244384</v>
      </c>
      <c r="C8" s="2" t="s">
        <v>10</v>
      </c>
    </row>
    <row r="9" customFormat="false" ht="15" hidden="false" customHeight="false" outlineLevel="0" collapsed="false">
      <c r="A9" s="4" t="s">
        <v>11</v>
      </c>
      <c r="B9" s="5" t="n">
        <v>313138</v>
      </c>
      <c r="C9" s="2" t="s">
        <v>12</v>
      </c>
    </row>
    <row r="10" customFormat="false" ht="15" hidden="false" customHeight="false" outlineLevel="0" collapsed="false">
      <c r="A10" s="4" t="s">
        <v>13</v>
      </c>
      <c r="B10" s="8" t="s">
        <v>14</v>
      </c>
      <c r="C10" s="2" t="s">
        <v>15</v>
      </c>
    </row>
    <row r="12" customFormat="false" ht="15" hidden="false" customHeight="false" outlineLevel="0" collapsed="false">
      <c r="A12" s="3" t="s">
        <v>16</v>
      </c>
    </row>
    <row r="13" customFormat="false" ht="15" hidden="false" customHeight="false" outlineLevel="0" collapsed="false">
      <c r="A13" s="4" t="s">
        <v>17</v>
      </c>
      <c r="B13" s="9" t="n">
        <v>2.5</v>
      </c>
      <c r="C13" s="2" t="s">
        <v>18</v>
      </c>
    </row>
    <row r="14" customFormat="false" ht="15" hidden="false" customHeight="false" outlineLevel="0" collapsed="false">
      <c r="A14" s="4" t="s">
        <v>19</v>
      </c>
      <c r="B14" s="10" t="n">
        <v>0.005</v>
      </c>
    </row>
    <row r="15" customFormat="false" ht="15" hidden="false" customHeight="false" outlineLevel="0" collapsed="false">
      <c r="A15" s="4" t="s">
        <v>20</v>
      </c>
      <c r="B15" s="10" t="n">
        <v>0.4</v>
      </c>
      <c r="C15" s="2" t="s">
        <v>21</v>
      </c>
    </row>
    <row r="16" customFormat="false" ht="15" hidden="false" customHeight="false" outlineLevel="0" collapsed="false">
      <c r="A16" s="4" t="s">
        <v>22</v>
      </c>
      <c r="B16" s="5" t="n">
        <v>120000</v>
      </c>
    </row>
    <row r="17" customFormat="false" ht="15" hidden="false" customHeight="false" outlineLevel="0" collapsed="false">
      <c r="A17" s="4" t="s">
        <v>23</v>
      </c>
      <c r="B17" s="5" t="n">
        <v>900000000</v>
      </c>
    </row>
    <row r="18" customFormat="false" ht="15" hidden="false" customHeight="false" outlineLevel="0" collapsed="false">
      <c r="A18" s="4" t="s">
        <v>24</v>
      </c>
      <c r="B18" s="5" t="n">
        <v>450000000</v>
      </c>
      <c r="C18" s="2" t="s">
        <v>25</v>
      </c>
    </row>
    <row r="19" customFormat="false" ht="15" hidden="false" customHeight="false" outlineLevel="0" collapsed="false">
      <c r="A19" s="4" t="s">
        <v>26</v>
      </c>
      <c r="B19" s="7" t="n">
        <f aca="false">پارامترها!$B$17+پارامترها!$B$18</f>
        <v>1350000000</v>
      </c>
      <c r="C19" s="2" t="s">
        <v>27</v>
      </c>
    </row>
    <row r="20" customFormat="false" ht="15" hidden="false" customHeight="false" outlineLevel="0" collapsed="false">
      <c r="A20" s="4" t="s">
        <v>28</v>
      </c>
      <c r="B20" s="8" t="s">
        <v>29</v>
      </c>
      <c r="C20" s="2" t="s">
        <v>30</v>
      </c>
    </row>
    <row r="21" customFormat="false" ht="15" hidden="false" customHeight="false" outlineLevel="0" collapsed="false">
      <c r="A21" s="4" t="s">
        <v>31</v>
      </c>
      <c r="B21" s="10" t="n">
        <v>0.1</v>
      </c>
    </row>
    <row r="22" customFormat="false" ht="15" hidden="false" customHeight="false" outlineLevel="0" collapsed="false">
      <c r="A22" s="4" t="s">
        <v>32</v>
      </c>
      <c r="B22" s="8" t="s">
        <v>33</v>
      </c>
      <c r="C22" s="2" t="s">
        <v>34</v>
      </c>
    </row>
    <row r="23" customFormat="false" ht="15" hidden="false" customHeight="false" outlineLevel="0" collapsed="false">
      <c r="A23" s="4" t="s">
        <v>35</v>
      </c>
      <c r="B23" s="10" t="n">
        <v>0</v>
      </c>
      <c r="C23" s="2" t="s">
        <v>36</v>
      </c>
    </row>
    <row r="24" customFormat="false" ht="15" hidden="false" customHeight="false" outlineLevel="0" collapsed="false">
      <c r="A24" s="4" t="s">
        <v>37</v>
      </c>
      <c r="B24" s="10" t="n">
        <v>0.35</v>
      </c>
      <c r="C24" s="2" t="s">
        <v>38</v>
      </c>
    </row>
    <row r="26" customFormat="false" ht="15" hidden="false" customHeight="false" outlineLevel="0" collapsed="false">
      <c r="A26" s="3" t="s">
        <v>39</v>
      </c>
    </row>
    <row r="27" customFormat="false" ht="15" hidden="false" customHeight="false" outlineLevel="0" collapsed="false">
      <c r="A27" s="11" t="s">
        <v>40</v>
      </c>
    </row>
    <row r="28" customFormat="false" ht="15" hidden="false" customHeight="false" outlineLevel="0" collapsed="false">
      <c r="A28" s="4" t="s">
        <v>41</v>
      </c>
    </row>
    <row r="29" customFormat="false" ht="15" hidden="false" customHeight="false" outlineLevel="0" collapsed="false">
      <c r="A29" s="12" t="s">
        <v>42</v>
      </c>
    </row>
    <row r="31" customFormat="false" ht="15" hidden="false" customHeight="false" outlineLevel="0" collapsed="false">
      <c r="A31" s="3" t="s">
        <v>43</v>
      </c>
    </row>
    <row r="32" customFormat="false" ht="15" hidden="false" customHeight="false" outlineLevel="0" collapsed="false">
      <c r="A32" s="2" t="s">
        <v>44</v>
      </c>
    </row>
    <row r="33" customFormat="false" ht="15" hidden="false" customHeight="false" outlineLevel="0" collapsed="false">
      <c r="A33" s="2" t="s">
        <v>45</v>
      </c>
    </row>
    <row r="34" customFormat="false" ht="15" hidden="false" customHeight="false" outlineLevel="0" collapsed="false">
      <c r="A34" s="2" t="s">
        <v>46</v>
      </c>
    </row>
  </sheetData>
  <dataValidations count="2">
    <dataValidation allowBlank="false" errorStyle="stop" operator="between" showDropDown="false" showErrorMessage="false" showInputMessage="false" sqref="B20" type="list">
      <formula1>"وزن,ارزش"</formula1>
      <formula2>0</formula2>
    </dataValidation>
    <dataValidation allowBlank="false" errorStyle="stop" operator="between" showDropDown="false" showErrorMessage="false" showInputMessage="false" sqref="B22" type="list">
      <formula1>"بله,خیر"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10" min="9" style="0" width="17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20" min="18" style="0" width="16"/>
    <col collapsed="false" customWidth="true" hidden="false" outlineLevel="0" max="21" min="21" style="0" width="14"/>
    <col collapsed="false" customWidth="true" hidden="false" outlineLevel="0" max="22" min="22" style="0" width="17"/>
    <col collapsed="false" customWidth="true" hidden="false" outlineLevel="0" max="23" min="23" style="0" width="14"/>
    <col collapsed="false" customWidth="true" hidden="false" outlineLevel="0" max="24" min="24" style="0" width="16"/>
    <col collapsed="false" customWidth="true" hidden="false" outlineLevel="0" max="26" min="25" style="0" width="17"/>
    <col collapsed="false" customWidth="true" hidden="false" outlineLevel="0" max="27" min="27" style="0" width="16"/>
    <col collapsed="false" customWidth="true" hidden="false" outlineLevel="0" max="28" min="28" style="0" width="15"/>
    <col collapsed="false" customWidth="true" hidden="false" outlineLevel="0" max="31" min="29" style="0" width="16"/>
    <col collapsed="false" customWidth="true" hidden="false" outlineLevel="0" max="32" min="32" style="0" width="14"/>
    <col collapsed="false" customWidth="true" hidden="false" outlineLevel="0" max="33" min="33" style="0" width="11"/>
    <col collapsed="false" customWidth="true" hidden="false" outlineLevel="0" max="35" min="34" style="0" width="16"/>
    <col collapsed="false" customWidth="true" hidden="false" outlineLevel="0" max="36" min="36" style="0" width="15"/>
    <col collapsed="false" customWidth="true" hidden="false" outlineLevel="0" max="37" min="37" style="0" width="14"/>
    <col collapsed="false" customWidth="true" hidden="false" outlineLevel="0" max="38" min="38" style="0" width="13"/>
    <col collapsed="false" customWidth="true" hidden="false" outlineLevel="0" max="39" min="39" style="0" width="15"/>
    <col collapsed="false" customWidth="true" hidden="false" outlineLevel="0" max="42" min="40" style="0" width="14"/>
    <col collapsed="false" customWidth="true" hidden="false" outlineLevel="0" max="43" min="43" style="0" width="16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45.75" hidden="false" customHeight="true" outlineLevel="0" collapsed="false">
      <c r="A4" s="13" t="s">
        <v>49</v>
      </c>
      <c r="B4" s="13" t="s">
        <v>50</v>
      </c>
      <c r="C4" s="13" t="s">
        <v>51</v>
      </c>
      <c r="D4" s="13" t="s">
        <v>52</v>
      </c>
      <c r="E4" s="13" t="s">
        <v>53</v>
      </c>
      <c r="F4" s="13" t="s">
        <v>54</v>
      </c>
      <c r="G4" s="13" t="s">
        <v>55</v>
      </c>
      <c r="H4" s="13" t="s">
        <v>56</v>
      </c>
      <c r="I4" s="13" t="s">
        <v>57</v>
      </c>
      <c r="J4" s="13" t="s">
        <v>58</v>
      </c>
      <c r="K4" s="13" t="s">
        <v>59</v>
      </c>
      <c r="L4" s="13" t="s">
        <v>60</v>
      </c>
      <c r="M4" s="13" t="s">
        <v>61</v>
      </c>
      <c r="N4" s="13" t="s">
        <v>62</v>
      </c>
      <c r="O4" s="13" t="s">
        <v>63</v>
      </c>
      <c r="P4" s="13" t="s">
        <v>64</v>
      </c>
      <c r="Q4" s="13" t="s">
        <v>65</v>
      </c>
      <c r="R4" s="13" t="s">
        <v>66</v>
      </c>
      <c r="S4" s="13" t="s">
        <v>67</v>
      </c>
      <c r="T4" s="13" t="s">
        <v>68</v>
      </c>
      <c r="U4" s="13" t="s">
        <v>69</v>
      </c>
      <c r="V4" s="13" t="s">
        <v>70</v>
      </c>
      <c r="W4" s="13" t="s">
        <v>71</v>
      </c>
      <c r="X4" s="13" t="s">
        <v>72</v>
      </c>
      <c r="Y4" s="13" t="s">
        <v>73</v>
      </c>
      <c r="Z4" s="13" t="s">
        <v>74</v>
      </c>
      <c r="AA4" s="13" t="s">
        <v>75</v>
      </c>
      <c r="AB4" s="13" t="s">
        <v>76</v>
      </c>
      <c r="AC4" s="13" t="s">
        <v>77</v>
      </c>
      <c r="AD4" s="13" t="s">
        <v>78</v>
      </c>
      <c r="AE4" s="13" t="s">
        <v>79</v>
      </c>
      <c r="AF4" s="13" t="s">
        <v>80</v>
      </c>
      <c r="AG4" s="13" t="s">
        <v>81</v>
      </c>
      <c r="AH4" s="13" t="s">
        <v>82</v>
      </c>
      <c r="AI4" s="13" t="s">
        <v>83</v>
      </c>
      <c r="AJ4" s="13" t="s">
        <v>84</v>
      </c>
      <c r="AK4" s="13" t="s">
        <v>85</v>
      </c>
      <c r="AL4" s="13" t="s">
        <v>86</v>
      </c>
      <c r="AM4" s="13" t="s">
        <v>87</v>
      </c>
      <c r="AN4" s="13" t="s">
        <v>88</v>
      </c>
      <c r="AO4" s="13" t="s">
        <v>89</v>
      </c>
      <c r="AP4" s="13" t="s">
        <v>90</v>
      </c>
      <c r="AQ4" s="13" t="s">
        <v>91</v>
      </c>
    </row>
    <row r="5" customFormat="false" ht="15" hidden="false" customHeight="false" outlineLevel="0" collapsed="false">
      <c r="A5" s="8" t="s">
        <v>92</v>
      </c>
      <c r="B5" s="9" t="n">
        <v>32</v>
      </c>
      <c r="C5" s="5" t="n">
        <v>600</v>
      </c>
      <c r="D5" s="14" t="n">
        <v>42</v>
      </c>
      <c r="E5" s="9"/>
      <c r="F5" s="10"/>
      <c r="G5" s="10" t="n">
        <v>0.03</v>
      </c>
      <c r="H5" s="5" t="n">
        <v>400000</v>
      </c>
      <c r="I5" s="5" t="n">
        <v>40600000</v>
      </c>
      <c r="J5" s="5" t="n">
        <v>37600000</v>
      </c>
      <c r="K5" s="10" t="n">
        <v>0.12</v>
      </c>
      <c r="L5" s="5" t="n">
        <v>75</v>
      </c>
      <c r="M5" s="15" t="n">
        <f aca="false">IF($A5="","",$C5*(1-$G5))</f>
        <v>582</v>
      </c>
      <c r="N5" s="16" t="n">
        <f aca="false">IF($A5="","",IF($F5="",پارامترها!$B$15,$F5))</f>
        <v>0.4</v>
      </c>
      <c r="O5" s="7" t="n">
        <f aca="false">IF($A5="","",$B5*$C5*پارامترها!$B$6)</f>
        <v>6012249600</v>
      </c>
      <c r="P5" s="7" t="n">
        <f aca="false">IF($A5="","",$D5*پارامترها!$B$13*پارامترها!$B$6)</f>
        <v>32879490</v>
      </c>
      <c r="Q5" s="7" t="n">
        <f aca="false">IF($A5="","",$O5*پارامترها!$B$14)</f>
        <v>30061248</v>
      </c>
      <c r="R5" s="7" t="n">
        <f aca="false">IF($A5="","",$O5+$P5+$Q5)</f>
        <v>6075190338</v>
      </c>
      <c r="S5" s="7" t="n">
        <f aca="false">IF($A5="","",IF($E5&gt;0,$E5*$C5*پارامترها!$B$6,$R5*(1+پارامترها!$B$23)))</f>
        <v>6075190338</v>
      </c>
      <c r="T5" s="7" t="n">
        <f aca="false">IF($A5="","",$S5*$N5)</f>
        <v>2430076135.2</v>
      </c>
      <c r="U5" s="7" t="n">
        <f aca="false">IF($A5="","",$D5*پارامترها!$B$16)</f>
        <v>5040000</v>
      </c>
      <c r="V5" s="7" t="n">
        <f aca="false">IF($A5="","",پارامترها!$B$19*IF(پارامترها!$B$20="وزن",IF(SUM($D$5:$D$29)=0,0,$D5/SUM($D$5:$D$29)),IF(SUMPRODUCT($B$5:$B$29,$C$5:$C$29)=0,0,$B5*$C5/SUMPRODUCT($B$5:$B$29,$C$5:$C$29))))</f>
        <v>333529411.764706</v>
      </c>
      <c r="W5" s="7" t="n">
        <f aca="false">IF($A5="","",$H5*$C5)</f>
        <v>240000000</v>
      </c>
      <c r="X5" s="7" t="n">
        <f aca="false">IF($A5="","",($S5+$T5)*پارامترها!$B$21)</f>
        <v>850526647.32</v>
      </c>
      <c r="Y5" s="7" t="n">
        <f aca="false">IF($A5="","",$R5+$T5+$U5+$V5+$W5+IF(پارامترها!$B$22="بله",$X5,0))</f>
        <v>9083835884.96471</v>
      </c>
      <c r="Z5" s="7" t="n">
        <f aca="false">IF($A5="","",IF($C5=0,0,$Y5/$C5))</f>
        <v>15139726.4749412</v>
      </c>
      <c r="AA5" s="7" t="n">
        <f aca="false">IF($A5="","",$J5/(1+پارامترها!$B$21))</f>
        <v>34181818.1818182</v>
      </c>
      <c r="AB5" s="7" t="n">
        <f aca="false">IF($A5="","",$AA5*$K5)</f>
        <v>4101818.18181818</v>
      </c>
      <c r="AC5" s="7" t="n">
        <f aca="false">IF($A5="","",$AA5*$M5)</f>
        <v>19893818181.8182</v>
      </c>
      <c r="AD5" s="7" t="n">
        <f aca="false">IF($A5="","",($AA5-$AB5)*$M5)</f>
        <v>17506560000</v>
      </c>
      <c r="AE5" s="7" t="n">
        <f aca="false">IF($A5="","",$AD5-$Y5)</f>
        <v>8422724115.03529</v>
      </c>
      <c r="AF5" s="7" t="n">
        <f aca="false">IF($A5="","",IF($C5=0,0,$AE5/$C5))</f>
        <v>14037873.5250588</v>
      </c>
      <c r="AG5" s="16" t="n">
        <f aca="false">IF($A5="","",IF($AC5=0,0,$AE5/$AC5))</f>
        <v>0.423383989843296</v>
      </c>
      <c r="AH5" s="7" t="n">
        <f aca="false">IF($A5="","",IF(OR($K5&gt;=1,$M5=0),0,$Y5/((1-$K5)*$M5)*(1+پارامترها!$B$21)))</f>
        <v>19509956.7976046</v>
      </c>
      <c r="AI5" s="7" t="n">
        <f aca="false">IF($A5="","",IF(OR((1-$K5-پارامترها!$B$24)&lt;=0,$M5=0),0,$Y5/($M5*(1-$K5-پارامترها!$B$24))*(1+پارامترها!$B$21)))</f>
        <v>32393890.5318718</v>
      </c>
      <c r="AJ5" s="7" t="n">
        <f aca="false">IF($A5="","",IF($AP5=0,0,($AD5-$AQ5)/$AP5))</f>
        <v>623237.041840086</v>
      </c>
      <c r="AK5" s="16" t="n">
        <f aca="false">IF($A5="","",IF(پارامترها!$B$6=0,0,($AJ5-پارامترها!$B$6)/پارامترها!$B$6))</f>
        <v>0.990295147315514</v>
      </c>
      <c r="AL5" s="16" t="n">
        <f aca="false">IF($A5="","",IF(OR($Y5=0,$L5=0),0,$AE5/$Y5*365/$L5))</f>
        <v>4.51247592011412</v>
      </c>
      <c r="AM5" s="16" t="n">
        <f aca="false">IF($A5="","",IF($I5=0,0,($J5-$I5)/$I5))</f>
        <v>-0.0738916256157636</v>
      </c>
      <c r="AN5" s="17" t="n">
        <f aca="false">IF($A5="","",$B5*$C5*(1+پارامترها!$B$14)+$D5*پارامترها!$B$13)</f>
        <v>19401</v>
      </c>
      <c r="AO5" s="17" t="n">
        <f aca="false">IF($A5="","",IF($E5&gt;0,$E5*$C5,$AN5*(1+پارامترها!$B$23)))</f>
        <v>19401</v>
      </c>
      <c r="AP5" s="7" t="n">
        <f aca="false">IF($A5="","",$AN5+$AO5*$N5+IF(پارامترها!$B$22="بله",$AO5*(1+$N5)*پارامترها!$B$21,0))</f>
        <v>27161.4</v>
      </c>
      <c r="AQ5" s="7" t="n">
        <f aca="false">IF($A5="","",$U5+$V5+$W5)</f>
        <v>578569411.764706</v>
      </c>
    </row>
    <row r="6" customFormat="false" ht="15" hidden="false" customHeight="false" outlineLevel="0" collapsed="false">
      <c r="A6" s="8" t="s">
        <v>93</v>
      </c>
      <c r="B6" s="9" t="n">
        <v>14</v>
      </c>
      <c r="C6" s="5" t="n">
        <v>1200</v>
      </c>
      <c r="D6" s="14" t="n">
        <v>30</v>
      </c>
      <c r="E6" s="9"/>
      <c r="F6" s="10"/>
      <c r="G6" s="10" t="n">
        <v>0.04</v>
      </c>
      <c r="H6" s="5" t="n">
        <v>250000</v>
      </c>
      <c r="I6" s="5" t="n">
        <v>17700000</v>
      </c>
      <c r="J6" s="5" t="n">
        <v>16400000</v>
      </c>
      <c r="K6" s="10" t="n">
        <v>0.12</v>
      </c>
      <c r="L6" s="5" t="n">
        <v>60</v>
      </c>
      <c r="M6" s="15" t="n">
        <f aca="false">IF($A6="","",$C6*(1-$G6))</f>
        <v>1152</v>
      </c>
      <c r="N6" s="16" t="n">
        <f aca="false">IF($A6="","",IF($F6="",پارامترها!$B$15,$F6))</f>
        <v>0.4</v>
      </c>
      <c r="O6" s="7" t="n">
        <f aca="false">IF($A6="","",$B6*$C6*پارامترها!$B$6)</f>
        <v>5260718400</v>
      </c>
      <c r="P6" s="7" t="n">
        <f aca="false">IF($A6="","",$D6*پارامترها!$B$13*پارامترها!$B$6)</f>
        <v>23485350</v>
      </c>
      <c r="Q6" s="7" t="n">
        <f aca="false">IF($A6="","",$O6*پارامترها!$B$14)</f>
        <v>26303592</v>
      </c>
      <c r="R6" s="7" t="n">
        <f aca="false">IF($A6="","",$O6+$P6+$Q6)</f>
        <v>5310507342</v>
      </c>
      <c r="S6" s="7" t="n">
        <f aca="false">IF($A6="","",IF($E6&gt;0,$E6*$C6*پارامترها!$B$6,$R6*(1+پارامترها!$B$23)))</f>
        <v>5310507342</v>
      </c>
      <c r="T6" s="7" t="n">
        <f aca="false">IF($A6="","",$S6*$N6)</f>
        <v>2124202936.8</v>
      </c>
      <c r="U6" s="7" t="n">
        <f aca="false">IF($A6="","",$D6*پارامترها!$B$16)</f>
        <v>3600000</v>
      </c>
      <c r="V6" s="7" t="n">
        <f aca="false">IF($A6="","",پارامترها!$B$19*IF(پارامترها!$B$20="وزن",IF(SUM($D$5:$D$29)=0,0,$D6/SUM($D$5:$D$29)),IF(SUMPRODUCT($B$5:$B$29,$C$5:$C$29)=0,0,$B6*$C6/SUMPRODUCT($B$5:$B$29,$C$5:$C$29))))</f>
        <v>238235294.117647</v>
      </c>
      <c r="W6" s="7" t="n">
        <f aca="false">IF($A6="","",$H6*$C6)</f>
        <v>300000000</v>
      </c>
      <c r="X6" s="7" t="n">
        <f aca="false">IF($A6="","",($S6+$T6)*پارامترها!$B$21)</f>
        <v>743471027.88</v>
      </c>
      <c r="Y6" s="7" t="n">
        <f aca="false">IF($A6="","",$R6+$T6+$U6+$V6+$W6+IF(پارامترها!$B$22="بله",$X6,0))</f>
        <v>7976545572.91765</v>
      </c>
      <c r="Z6" s="7" t="n">
        <f aca="false">IF($A6="","",IF($C6=0,0,$Y6/$C6))</f>
        <v>6647121.31076471</v>
      </c>
      <c r="AA6" s="7" t="n">
        <f aca="false">IF($A6="","",$J6/(1+پارامترها!$B$21))</f>
        <v>14909090.9090909</v>
      </c>
      <c r="AB6" s="7" t="n">
        <f aca="false">IF($A6="","",$AA6*$K6)</f>
        <v>1789090.90909091</v>
      </c>
      <c r="AC6" s="7" t="n">
        <f aca="false">IF($A6="","",$AA6*$M6)</f>
        <v>17175272727.2727</v>
      </c>
      <c r="AD6" s="7" t="n">
        <f aca="false">IF($A6="","",($AA6-$AB6)*$M6)</f>
        <v>15114240000</v>
      </c>
      <c r="AE6" s="7" t="n">
        <f aca="false">IF($A6="","",$AD6-$Y6)</f>
        <v>7137694427.08235</v>
      </c>
      <c r="AF6" s="7" t="n">
        <f aca="false">IF($A6="","",IF($C6=0,0,$AE6/$C6))</f>
        <v>5948078.68923529</v>
      </c>
      <c r="AG6" s="16" t="n">
        <f aca="false">IF($A6="","",IF($AC6=0,0,$AE6/$AC6))</f>
        <v>0.415579684842405</v>
      </c>
      <c r="AH6" s="7" t="n">
        <f aca="false">IF($A6="","",IF(OR($K6&gt;=1,$M6=0),0,$Y6/((1-$K6)*$M6)*(1+پارامترها!$B$21)))</f>
        <v>8655105.87339154</v>
      </c>
      <c r="AI6" s="7" t="n">
        <f aca="false">IF($A6="","",IF(OR((1-$K6-پارامترها!$B$24)&lt;=0,$M6=0),0,$Y6/($M6*(1-$K6-پارامترها!$B$24))*(1+پارامترها!$B$21)))</f>
        <v>14370741.827518</v>
      </c>
      <c r="AJ6" s="7" t="n">
        <f aca="false">IF($A6="","",IF($AP6=0,0,($AD6-$AQ6)/$AP6))</f>
        <v>613766.171602198</v>
      </c>
      <c r="AK6" s="16" t="n">
        <f aca="false">IF($A6="","",IF(پارامترها!$B$6=0,0,($AJ6-پارامترها!$B$6)/پارامترها!$B$6))</f>
        <v>0.960050110820783</v>
      </c>
      <c r="AL6" s="16" t="n">
        <f aca="false">IF($A6="","",IF(OR($Y6=0,$L6=0),0,$AE6/$Y6*365/$L6))</f>
        <v>5.44358131405187</v>
      </c>
      <c r="AM6" s="16" t="n">
        <f aca="false">IF($A6="","",IF($I6=0,0,($J6-$I6)/$I6))</f>
        <v>-0.0734463276836158</v>
      </c>
      <c r="AN6" s="17" t="n">
        <f aca="false">IF($A6="","",$B6*$C6*(1+پارامترها!$B$14)+$D6*پارامترها!$B$13)</f>
        <v>16959</v>
      </c>
      <c r="AO6" s="17" t="n">
        <f aca="false">IF($A6="","",IF($E6&gt;0,$E6*$C6,$AN6*(1+پارامترها!$B$23)))</f>
        <v>16959</v>
      </c>
      <c r="AP6" s="7" t="n">
        <f aca="false">IF($A6="","",$AN6+$AO6*$N6+IF(پارامترها!$B$22="بله",$AO6*(1+$N6)*پارامترها!$B$21,0))</f>
        <v>23742.6</v>
      </c>
      <c r="AQ6" s="7" t="n">
        <f aca="false">IF($A6="","",$U6+$V6+$W6)</f>
        <v>541835294.117647</v>
      </c>
    </row>
    <row r="7" customFormat="false" ht="15" hidden="false" customHeight="false" outlineLevel="0" collapsed="false">
      <c r="A7" s="8" t="s">
        <v>94</v>
      </c>
      <c r="B7" s="9" t="n">
        <v>48</v>
      </c>
      <c r="C7" s="5" t="n">
        <v>300</v>
      </c>
      <c r="D7" s="14" t="n">
        <v>39</v>
      </c>
      <c r="E7" s="9"/>
      <c r="F7" s="10"/>
      <c r="G7" s="10" t="n">
        <v>0.06</v>
      </c>
      <c r="H7" s="5" t="n">
        <v>500000</v>
      </c>
      <c r="I7" s="5" t="n">
        <v>61500000</v>
      </c>
      <c r="J7" s="5" t="n">
        <v>56900000</v>
      </c>
      <c r="K7" s="10" t="n">
        <v>0.15</v>
      </c>
      <c r="L7" s="5" t="n">
        <v>110</v>
      </c>
      <c r="M7" s="15" t="n">
        <f aca="false">IF($A7="","",$C7*(1-$G7))</f>
        <v>282</v>
      </c>
      <c r="N7" s="16" t="n">
        <f aca="false">IF($A7="","",IF($F7="",پارامترها!$B$15,$F7))</f>
        <v>0.4</v>
      </c>
      <c r="O7" s="7" t="n">
        <f aca="false">IF($A7="","",$B7*$C7*پارامترها!$B$6)</f>
        <v>4509187200</v>
      </c>
      <c r="P7" s="7" t="n">
        <f aca="false">IF($A7="","",$D7*پارامترها!$B$13*پارامترها!$B$6)</f>
        <v>30530955</v>
      </c>
      <c r="Q7" s="7" t="n">
        <f aca="false">IF($A7="","",$O7*پارامترها!$B$14)</f>
        <v>22545936</v>
      </c>
      <c r="R7" s="7" t="n">
        <f aca="false">IF($A7="","",$O7+$P7+$Q7)</f>
        <v>4562264091</v>
      </c>
      <c r="S7" s="7" t="n">
        <f aca="false">IF($A7="","",IF($E7&gt;0,$E7*$C7*پارامترها!$B$6,$R7*(1+پارامترها!$B$23)))</f>
        <v>4562264091</v>
      </c>
      <c r="T7" s="7" t="n">
        <f aca="false">IF($A7="","",$S7*$N7)</f>
        <v>1824905636.4</v>
      </c>
      <c r="U7" s="7" t="n">
        <f aca="false">IF($A7="","",$D7*پارامترها!$B$16)</f>
        <v>4680000</v>
      </c>
      <c r="V7" s="7" t="n">
        <f aca="false">IF($A7="","",پارامترها!$B$19*IF(پارامترها!$B$20="وزن",IF(SUM($D$5:$D$29)=0,0,$D7/SUM($D$5:$D$29)),IF(SUMPRODUCT($B$5:$B$29,$C$5:$C$29)=0,0,$B7*$C7/SUMPRODUCT($B$5:$B$29,$C$5:$C$29))))</f>
        <v>309705882.352941</v>
      </c>
      <c r="W7" s="7" t="n">
        <f aca="false">IF($A7="","",$H7*$C7)</f>
        <v>150000000</v>
      </c>
      <c r="X7" s="7" t="n">
        <f aca="false">IF($A7="","",($S7+$T7)*پارامترها!$B$21)</f>
        <v>638716972.74</v>
      </c>
      <c r="Y7" s="7" t="n">
        <f aca="false">IF($A7="","",$R7+$T7+$U7+$V7+$W7+IF(پارامترها!$B$22="بله",$X7,0))</f>
        <v>6851555609.75294</v>
      </c>
      <c r="Z7" s="7" t="n">
        <f aca="false">IF($A7="","",IF($C7=0,0,$Y7/$C7))</f>
        <v>22838518.6991765</v>
      </c>
      <c r="AA7" s="7" t="n">
        <f aca="false">IF($A7="","",$J7/(1+پارامترها!$B$21))</f>
        <v>51727272.7272727</v>
      </c>
      <c r="AB7" s="7" t="n">
        <f aca="false">IF($A7="","",$AA7*$K7)</f>
        <v>7759090.90909091</v>
      </c>
      <c r="AC7" s="7" t="n">
        <f aca="false">IF($A7="","",$AA7*$M7)</f>
        <v>14587090909.0909</v>
      </c>
      <c r="AD7" s="7" t="n">
        <f aca="false">IF($A7="","",($AA7-$AB7)*$M7)</f>
        <v>12399027272.7273</v>
      </c>
      <c r="AE7" s="7" t="n">
        <f aca="false">IF($A7="","",$AD7-$Y7)</f>
        <v>5547471662.97433</v>
      </c>
      <c r="AF7" s="7" t="n">
        <f aca="false">IF($A7="","",IF($C7=0,0,$AE7/$C7))</f>
        <v>18491572.2099144</v>
      </c>
      <c r="AG7" s="16" t="n">
        <f aca="false">IF($A7="","",IF($AC7=0,0,$AE7/$AC7))</f>
        <v>0.380300067885164</v>
      </c>
      <c r="AH7" s="7" t="n">
        <f aca="false">IF($A7="","",IF(OR($K7&gt;=1,$M7=0),0,$Y7/((1-$K7)*$M7)*(1+پارامترها!$B$21)))</f>
        <v>31442266.0439226</v>
      </c>
      <c r="AI7" s="7" t="n">
        <f aca="false">IF($A7="","",IF(OR((1-$K7-پارامترها!$B$24)&lt;=0,$M7=0),0,$Y7/($M7*(1-$K7-پارامترها!$B$24))*(1+پارامترها!$B$21)))</f>
        <v>53451852.2746683</v>
      </c>
      <c r="AJ7" s="7" t="n">
        <f aca="false">IF($A7="","",IF($AP7=0,0,($AD7-$AQ7)/$AP7))</f>
        <v>585108.881586011</v>
      </c>
      <c r="AK7" s="16" t="n">
        <f aca="false">IF($A7="","",IF(پارامترها!$B$6=0,0,($AJ7-پارامترها!$B$6)/پارامترها!$B$6))</f>
        <v>0.868533622830863</v>
      </c>
      <c r="AL7" s="16" t="n">
        <f aca="false">IF($A7="","",IF(OR($Y7=0,$L7=0),0,$AE7/$Y7*365/$L7))</f>
        <v>2.68661901871713</v>
      </c>
      <c r="AM7" s="16" t="n">
        <f aca="false">IF($A7="","",IF($I7=0,0,($J7-$I7)/$I7))</f>
        <v>-0.0747967479674797</v>
      </c>
      <c r="AN7" s="17" t="n">
        <f aca="false">IF($A7="","",$B7*$C7*(1+پارامترها!$B$14)+$D7*پارامترها!$B$13)</f>
        <v>14569.5</v>
      </c>
      <c r="AO7" s="17" t="n">
        <f aca="false">IF($A7="","",IF($E7&gt;0,$E7*$C7,$AN7*(1+پارامترها!$B$23)))</f>
        <v>14569.5</v>
      </c>
      <c r="AP7" s="7" t="n">
        <f aca="false">IF($A7="","",$AN7+$AO7*$N7+IF(پارامترها!$B$22="بله",$AO7*(1+$N7)*پارامترها!$B$21,0))</f>
        <v>20397.3</v>
      </c>
      <c r="AQ7" s="7" t="n">
        <f aca="false">IF($A7="","",$U7+$V7+$W7)</f>
        <v>464385882.352941</v>
      </c>
    </row>
    <row r="8" customFormat="false" ht="15" hidden="false" customHeight="false" outlineLevel="0" collapsed="false">
      <c r="A8" s="8" t="s">
        <v>95</v>
      </c>
      <c r="B8" s="9" t="n">
        <v>55</v>
      </c>
      <c r="C8" s="5" t="n">
        <v>400</v>
      </c>
      <c r="D8" s="14" t="n">
        <v>32</v>
      </c>
      <c r="E8" s="9"/>
      <c r="F8" s="10"/>
      <c r="G8" s="10" t="n">
        <v>0.05</v>
      </c>
      <c r="H8" s="5" t="n">
        <v>450000</v>
      </c>
      <c r="I8" s="5" t="n">
        <v>68700000</v>
      </c>
      <c r="J8" s="5" t="n">
        <v>63600000</v>
      </c>
      <c r="K8" s="10" t="n">
        <v>0.1</v>
      </c>
      <c r="L8" s="5" t="n">
        <v>90</v>
      </c>
      <c r="M8" s="15" t="n">
        <f aca="false">IF($A8="","",$C8*(1-$G8))</f>
        <v>380</v>
      </c>
      <c r="N8" s="16" t="n">
        <f aca="false">IF($A8="","",IF($F8="",پارامترها!$B$15,$F8))</f>
        <v>0.4</v>
      </c>
      <c r="O8" s="7" t="n">
        <f aca="false">IF($A8="","",$B8*$C8*پارامترها!$B$6)</f>
        <v>6889036000</v>
      </c>
      <c r="P8" s="7" t="n">
        <f aca="false">IF($A8="","",$D8*پارامترها!$B$13*پارامترها!$B$6)</f>
        <v>25051040</v>
      </c>
      <c r="Q8" s="7" t="n">
        <f aca="false">IF($A8="","",$O8*پارامترها!$B$14)</f>
        <v>34445180</v>
      </c>
      <c r="R8" s="7" t="n">
        <f aca="false">IF($A8="","",$O8+$P8+$Q8)</f>
        <v>6948532220</v>
      </c>
      <c r="S8" s="7" t="n">
        <f aca="false">IF($A8="","",IF($E8&gt;0,$E8*$C8*پارامترها!$B$6,$R8*(1+پارامترها!$B$23)))</f>
        <v>6948532220</v>
      </c>
      <c r="T8" s="7" t="n">
        <f aca="false">IF($A8="","",$S8*$N8)</f>
        <v>2779412888</v>
      </c>
      <c r="U8" s="7" t="n">
        <f aca="false">IF($A8="","",$D8*پارامترها!$B$16)</f>
        <v>3840000</v>
      </c>
      <c r="V8" s="7" t="n">
        <f aca="false">IF($A8="","",پارامترها!$B$19*IF(پارامترها!$B$20="وزن",IF(SUM($D$5:$D$29)=0,0,$D8/SUM($D$5:$D$29)),IF(SUMPRODUCT($B$5:$B$29,$C$5:$C$29)=0,0,$B8*$C8/SUMPRODUCT($B$5:$B$29,$C$5:$C$29))))</f>
        <v>254117647.058824</v>
      </c>
      <c r="W8" s="7" t="n">
        <f aca="false">IF($A8="","",$H8*$C8)</f>
        <v>180000000</v>
      </c>
      <c r="X8" s="7" t="n">
        <f aca="false">IF($A8="","",($S8+$T8)*پارامترها!$B$21)</f>
        <v>972794510.8</v>
      </c>
      <c r="Y8" s="7" t="n">
        <f aca="false">IF($A8="","",$R8+$T8+$U8+$V8+$W8+IF(پارامترها!$B$22="بله",$X8,0))</f>
        <v>10165902755.0588</v>
      </c>
      <c r="Z8" s="7" t="n">
        <f aca="false">IF($A8="","",IF($C8=0,0,$Y8/$C8))</f>
        <v>25414756.8876471</v>
      </c>
      <c r="AA8" s="7" t="n">
        <f aca="false">IF($A8="","",$J8/(1+پارامترها!$B$21))</f>
        <v>57818181.8181818</v>
      </c>
      <c r="AB8" s="7" t="n">
        <f aca="false">IF($A8="","",$AA8*$K8)</f>
        <v>5781818.18181818</v>
      </c>
      <c r="AC8" s="7" t="n">
        <f aca="false">IF($A8="","",$AA8*$M8)</f>
        <v>21970909090.9091</v>
      </c>
      <c r="AD8" s="7" t="n">
        <f aca="false">IF($A8="","",($AA8-$AB8)*$M8)</f>
        <v>19773818181.8182</v>
      </c>
      <c r="AE8" s="7" t="n">
        <f aca="false">IF($A8="","",$AD8-$Y8)</f>
        <v>9607915426.75936</v>
      </c>
      <c r="AF8" s="7" t="n">
        <f aca="false">IF($A8="","",IF($C8=0,0,$AE8/$C8))</f>
        <v>24019788.5668984</v>
      </c>
      <c r="AG8" s="16" t="n">
        <f aca="false">IF($A8="","",IF($AC8=0,0,$AE8/$AC8))</f>
        <v>0.437301678642639</v>
      </c>
      <c r="AH8" s="7" t="n">
        <f aca="false">IF($A8="","",IF(OR($K8&gt;=1,$M8=0),0,$Y8/((1-$K8)*$M8)*(1+پارامترها!$B$21)))</f>
        <v>32697348.0425869</v>
      </c>
      <c r="AI8" s="7" t="n">
        <f aca="false">IF($A8="","",IF(OR((1-$K8-پارامترها!$B$24)&lt;=0,$M8=0),0,$Y8/($M8*(1-$K8-پارامترها!$B$24))*(1+پارامترها!$B$21)))</f>
        <v>53504751.3424149</v>
      </c>
      <c r="AJ8" s="7" t="n">
        <f aca="false">IF($A8="","",IF($AP8=0,0,($AD8-$AQ8)/$AP8))</f>
        <v>622412.300739051</v>
      </c>
      <c r="AK8" s="16" t="n">
        <f aca="false">IF($A8="","",IF(پارامترها!$B$6=0,0,($AJ8-پارامترها!$B$6)/پارامترها!$B$6))</f>
        <v>0.987661352946787</v>
      </c>
      <c r="AL8" s="16" t="n">
        <f aca="false">IF($A8="","",IF(OR($Y8=0,$L8=0),0,$AE8/$Y8*365/$L8))</f>
        <v>3.83295372040733</v>
      </c>
      <c r="AM8" s="16" t="n">
        <f aca="false">IF($A8="","",IF($I8=0,0,($J8-$I8)/$I8))</f>
        <v>-0.074235807860262</v>
      </c>
      <c r="AN8" s="17" t="n">
        <f aca="false">IF($A8="","",$B8*$C8*(1+پارامترها!$B$14)+$D8*پارامترها!$B$13)</f>
        <v>22190</v>
      </c>
      <c r="AO8" s="17" t="n">
        <f aca="false">IF($A8="","",IF($E8&gt;0,$E8*$C8,$AN8*(1+پارامترها!$B$23)))</f>
        <v>22190</v>
      </c>
      <c r="AP8" s="7" t="n">
        <f aca="false">IF($A8="","",$AN8+$AO8*$N8+IF(پارامترها!$B$22="بله",$AO8*(1+$N8)*پارامترها!$B$21,0))</f>
        <v>31066</v>
      </c>
      <c r="AQ8" s="7" t="n">
        <f aca="false">IF($A8="","",$U8+$V8+$W8)</f>
        <v>437957647.058824</v>
      </c>
    </row>
    <row r="9" customFormat="false" ht="15" hidden="false" customHeight="false" outlineLevel="0" collapsed="false">
      <c r="A9" s="8" t="s">
        <v>96</v>
      </c>
      <c r="B9" s="9" t="n">
        <v>18</v>
      </c>
      <c r="C9" s="5" t="n">
        <v>900</v>
      </c>
      <c r="D9" s="14" t="n">
        <v>27</v>
      </c>
      <c r="E9" s="9"/>
      <c r="F9" s="10"/>
      <c r="G9" s="10" t="n">
        <v>0.04</v>
      </c>
      <c r="H9" s="5" t="n">
        <v>300000</v>
      </c>
      <c r="I9" s="5" t="n">
        <v>22700000</v>
      </c>
      <c r="J9" s="5" t="n">
        <v>21000000</v>
      </c>
      <c r="K9" s="10" t="n">
        <v>0.12</v>
      </c>
      <c r="L9" s="5" t="n">
        <v>65</v>
      </c>
      <c r="M9" s="15" t="n">
        <f aca="false">IF($A9="","",$C9*(1-$G9))</f>
        <v>864</v>
      </c>
      <c r="N9" s="16" t="n">
        <f aca="false">IF($A9="","",IF($F9="",پارامترها!$B$15,$F9))</f>
        <v>0.4</v>
      </c>
      <c r="O9" s="7" t="n">
        <f aca="false">IF($A9="","",$B9*$C9*پارامترها!$B$6)</f>
        <v>5072835600</v>
      </c>
      <c r="P9" s="7" t="n">
        <f aca="false">IF($A9="","",$D9*پارامترها!$B$13*پارامترها!$B$6)</f>
        <v>21136815</v>
      </c>
      <c r="Q9" s="7" t="n">
        <f aca="false">IF($A9="","",$O9*پارامترها!$B$14)</f>
        <v>25364178</v>
      </c>
      <c r="R9" s="7" t="n">
        <f aca="false">IF($A9="","",$O9+$P9+$Q9)</f>
        <v>5119336593</v>
      </c>
      <c r="S9" s="7" t="n">
        <f aca="false">IF($A9="","",IF($E9&gt;0,$E9*$C9*پارامترها!$B$6,$R9*(1+پارامترها!$B$23)))</f>
        <v>5119336593</v>
      </c>
      <c r="T9" s="7" t="n">
        <f aca="false">IF($A9="","",$S9*$N9)</f>
        <v>2047734637.2</v>
      </c>
      <c r="U9" s="7" t="n">
        <f aca="false">IF($A9="","",$D9*پارامترها!$B$16)</f>
        <v>3240000</v>
      </c>
      <c r="V9" s="7" t="n">
        <f aca="false">IF($A9="","",پارامترها!$B$19*IF(پارامترها!$B$20="وزن",IF(SUM($D$5:$D$29)=0,0,$D9/SUM($D$5:$D$29)),IF(SUMPRODUCT($B$5:$B$29,$C$5:$C$29)=0,0,$B9*$C9/SUMPRODUCT($B$5:$B$29,$C$5:$C$29))))</f>
        <v>214411764.705882</v>
      </c>
      <c r="W9" s="7" t="n">
        <f aca="false">IF($A9="","",$H9*$C9)</f>
        <v>270000000</v>
      </c>
      <c r="X9" s="7" t="n">
        <f aca="false">IF($A9="","",($S9+$T9)*پارامترها!$B$21)</f>
        <v>716707123.02</v>
      </c>
      <c r="Y9" s="7" t="n">
        <f aca="false">IF($A9="","",$R9+$T9+$U9+$V9+$W9+IF(پارامترها!$B$22="بله",$X9,0))</f>
        <v>7654722994.90588</v>
      </c>
      <c r="Z9" s="7" t="n">
        <f aca="false">IF($A9="","",IF($C9=0,0,$Y9/$C9))</f>
        <v>8505247.77211765</v>
      </c>
      <c r="AA9" s="7" t="n">
        <f aca="false">IF($A9="","",$J9/(1+پارامترها!$B$21))</f>
        <v>19090909.0909091</v>
      </c>
      <c r="AB9" s="7" t="n">
        <f aca="false">IF($A9="","",$AA9*$K9)</f>
        <v>2290909.09090909</v>
      </c>
      <c r="AC9" s="7" t="n">
        <f aca="false">IF($A9="","",$AA9*$M9)</f>
        <v>16494545454.5455</v>
      </c>
      <c r="AD9" s="7" t="n">
        <f aca="false">IF($A9="","",($AA9-$AB9)*$M9)</f>
        <v>14515200000</v>
      </c>
      <c r="AE9" s="7" t="n">
        <f aca="false">IF($A9="","",$AD9-$Y9)</f>
        <v>6860477005.09412</v>
      </c>
      <c r="AF9" s="7" t="n">
        <f aca="false">IF($A9="","",IF($C9=0,0,$AE9/$C9))</f>
        <v>7622752.22788235</v>
      </c>
      <c r="AG9" s="16" t="n">
        <f aca="false">IF($A9="","",IF($AC9=0,0,$AE9/$AC9))</f>
        <v>0.415923980688025</v>
      </c>
      <c r="AH9" s="7" t="n">
        <f aca="false">IF($A9="","",IF(OR($K9&gt;=1,$M9=0),0,$Y9/((1-$K9)*$M9)*(1+پارامترها!$B$21)))</f>
        <v>11074541.3699449</v>
      </c>
      <c r="AI9" s="7" t="n">
        <f aca="false">IF($A9="","",IF(OR((1-$K9-پارامترها!$B$24)&lt;=0,$M9=0),0,$Y9/($M9*(1-$K9-پارامترها!$B$24))*(1+پارامترها!$B$21)))</f>
        <v>18387917.7463235</v>
      </c>
      <c r="AJ9" s="7" t="n">
        <f aca="false">IF($A9="","",IF($AP9=0,0,($AD9-$AQ9)/$AP9))</f>
        <v>612880.527933717</v>
      </c>
      <c r="AK9" s="16" t="n">
        <f aca="false">IF($A9="","",IF(پارامترها!$B$6=0,0,($AJ9-پارامترها!$B$6)/پارامترها!$B$6))</f>
        <v>0.957221825309343</v>
      </c>
      <c r="AL9" s="16" t="n">
        <f aca="false">IF($A9="","",IF(OR($Y9=0,$L9=0),0,$AE9/$Y9*365/$L9))</f>
        <v>5.03273822635291</v>
      </c>
      <c r="AM9" s="16" t="n">
        <f aca="false">IF($A9="","",IF($I9=0,0,($J9-$I9)/$I9))</f>
        <v>-0.0748898678414097</v>
      </c>
      <c r="AN9" s="17" t="n">
        <f aca="false">IF($A9="","",$B9*$C9*(1+پارامترها!$B$14)+$D9*پارامترها!$B$13)</f>
        <v>16348.5</v>
      </c>
      <c r="AO9" s="17" t="n">
        <f aca="false">IF($A9="","",IF($E9&gt;0,$E9*$C9,$AN9*(1+پارامترها!$B$23)))</f>
        <v>16348.5</v>
      </c>
      <c r="AP9" s="7" t="n">
        <f aca="false">IF($A9="","",$AN9+$AO9*$N9+IF(پارامترها!$B$22="بله",$AO9*(1+$N9)*پارامترها!$B$21,0))</f>
        <v>22887.9</v>
      </c>
      <c r="AQ9" s="7" t="n">
        <f aca="false">IF($A9="","",$U9+$V9+$W9)</f>
        <v>487651764.705882</v>
      </c>
    </row>
    <row r="10" customFormat="false" ht="15" hidden="false" customHeight="false" outlineLevel="0" collapsed="false">
      <c r="A10" s="8"/>
      <c r="B10" s="9"/>
      <c r="C10" s="5"/>
      <c r="D10" s="14"/>
      <c r="E10" s="9"/>
      <c r="F10" s="10"/>
      <c r="G10" s="10"/>
      <c r="H10" s="5"/>
      <c r="I10" s="5"/>
      <c r="J10" s="5"/>
      <c r="K10" s="10"/>
      <c r="L10" s="5"/>
      <c r="M10" s="15" t="str">
        <f aca="false">IF($A10="","",$C10*(1-$G10))</f>
        <v/>
      </c>
      <c r="N10" s="16" t="str">
        <f aca="false">IF($A10="","",IF($F10="",پارامترها!$B$15,$F10))</f>
        <v/>
      </c>
      <c r="O10" s="7" t="str">
        <f aca="false">IF($A10="","",$B10*$C10*پارامترها!$B$6)</f>
        <v/>
      </c>
      <c r="P10" s="7" t="str">
        <f aca="false">IF($A10="","",$D10*پارامترها!$B$13*پارامترها!$B$6)</f>
        <v/>
      </c>
      <c r="Q10" s="7" t="str">
        <f aca="false">IF($A10="","",$O10*پارامترها!$B$14)</f>
        <v/>
      </c>
      <c r="R10" s="7" t="str">
        <f aca="false">IF($A10="","",$O10+$P10+$Q10)</f>
        <v/>
      </c>
      <c r="S10" s="7" t="str">
        <f aca="false">IF($A10="","",IF($E10&gt;0,$E10*$C10*پارامترها!$B$6,$R10*(1+پارامترها!$B$23)))</f>
        <v/>
      </c>
      <c r="T10" s="7" t="str">
        <f aca="false">IF($A10="","",$S10*$N10)</f>
        <v/>
      </c>
      <c r="U10" s="7" t="str">
        <f aca="false">IF($A10="","",$D10*پارامترها!$B$16)</f>
        <v/>
      </c>
      <c r="V10" s="7" t="str">
        <f aca="false">IF($A10="","",پارامترها!$B$19*IF(پارامترها!$B$20="وزن",IF(SUM($D$5:$D$29)=0,0,$D10/SUM($D$5:$D$29)),IF(SUMPRODUCT($B$5:$B$29,$C$5:$C$29)=0,0,$B10*$C10/SUMPRODUCT($B$5:$B$29,$C$5:$C$29))))</f>
        <v/>
      </c>
      <c r="W10" s="7" t="str">
        <f aca="false">IF($A10="","",$H10*$C10)</f>
        <v/>
      </c>
      <c r="X10" s="7" t="str">
        <f aca="false">IF($A10="","",($S10+$T10)*پارامترها!$B$21)</f>
        <v/>
      </c>
      <c r="Y10" s="7" t="str">
        <f aca="false">IF($A10="","",$R10+$T10+$U10+$V10+$W10+IF(پارامترها!$B$22="بله",$X10,0))</f>
        <v/>
      </c>
      <c r="Z10" s="7" t="str">
        <f aca="false">IF($A10="","",IF($C10=0,0,$Y10/$C10))</f>
        <v/>
      </c>
      <c r="AA10" s="7" t="str">
        <f aca="false">IF($A10="","",$J10/(1+پارامترها!$B$21))</f>
        <v/>
      </c>
      <c r="AB10" s="7" t="str">
        <f aca="false">IF($A10="","",$AA10*$K10)</f>
        <v/>
      </c>
      <c r="AC10" s="7" t="str">
        <f aca="false">IF($A10="","",$AA10*$M10)</f>
        <v/>
      </c>
      <c r="AD10" s="7" t="str">
        <f aca="false">IF($A10="","",($AA10-$AB10)*$M10)</f>
        <v/>
      </c>
      <c r="AE10" s="7" t="str">
        <f aca="false">IF($A10="","",$AD10-$Y10)</f>
        <v/>
      </c>
      <c r="AF10" s="7" t="str">
        <f aca="false">IF($A10="","",IF($C10=0,0,$AE10/$C10))</f>
        <v/>
      </c>
      <c r="AG10" s="16" t="str">
        <f aca="false">IF($A10="","",IF($AC10=0,0,$AE10/$AC10))</f>
        <v/>
      </c>
      <c r="AH10" s="7" t="str">
        <f aca="false">IF($A10="","",IF(OR($K10&gt;=1,$M10=0),0,$Y10/((1-$K10)*$M10)*(1+پارامترها!$B$21)))</f>
        <v/>
      </c>
      <c r="AI10" s="7" t="str">
        <f aca="false">IF($A10="","",IF(OR((1-$K10-پارامترها!$B$24)&lt;=0,$M10=0),0,$Y10/($M10*(1-$K10-پارامترها!$B$24))*(1+پارامترها!$B$21)))</f>
        <v/>
      </c>
      <c r="AJ10" s="7" t="str">
        <f aca="false">IF($A10="","",IF($AP10=0,0,($AD10-$AQ10)/$AP10))</f>
        <v/>
      </c>
      <c r="AK10" s="16" t="str">
        <f aca="false">IF($A10="","",IF(پارامترها!$B$6=0,0,($AJ10-پارامترها!$B$6)/پارامترها!$B$6))</f>
        <v/>
      </c>
      <c r="AL10" s="16" t="str">
        <f aca="false">IF($A10="","",IF(OR($Y10=0,$L10=0),0,$AE10/$Y10*365/$L10))</f>
        <v/>
      </c>
      <c r="AM10" s="16" t="str">
        <f aca="false">IF($A10="","",IF($I10=0,0,($J10-$I10)/$I10))</f>
        <v/>
      </c>
      <c r="AN10" s="17" t="str">
        <f aca="false">IF($A10="","",$B10*$C10*(1+پارامترها!$B$14)+$D10*پارامترها!$B$13)</f>
        <v/>
      </c>
      <c r="AO10" s="17" t="str">
        <f aca="false">IF($A10="","",IF($E10&gt;0,$E10*$C10,$AN10*(1+پارامترها!$B$23)))</f>
        <v/>
      </c>
      <c r="AP10" s="7" t="str">
        <f aca="false">IF($A10="","",$AN10+$AO10*$N10+IF(پارامترها!$B$22="بله",$AO10*(1+$N10)*پارامترها!$B$21,0))</f>
        <v/>
      </c>
      <c r="AQ10" s="7" t="str">
        <f aca="false">IF($A10="","",$U10+$V10+$W10)</f>
        <v/>
      </c>
    </row>
    <row r="11" customFormat="false" ht="15" hidden="false" customHeight="false" outlineLevel="0" collapsed="false">
      <c r="A11" s="8"/>
      <c r="B11" s="9"/>
      <c r="C11" s="5"/>
      <c r="D11" s="14"/>
      <c r="E11" s="9"/>
      <c r="F11" s="10"/>
      <c r="G11" s="10"/>
      <c r="H11" s="5"/>
      <c r="I11" s="5"/>
      <c r="J11" s="5"/>
      <c r="K11" s="10"/>
      <c r="L11" s="5"/>
      <c r="M11" s="15" t="str">
        <f aca="false">IF($A11="","",$C11*(1-$G11))</f>
        <v/>
      </c>
      <c r="N11" s="16" t="str">
        <f aca="false">IF($A11="","",IF($F11="",پارامترها!$B$15,$F11))</f>
        <v/>
      </c>
      <c r="O11" s="7" t="str">
        <f aca="false">IF($A11="","",$B11*$C11*پارامترها!$B$6)</f>
        <v/>
      </c>
      <c r="P11" s="7" t="str">
        <f aca="false">IF($A11="","",$D11*پارامترها!$B$13*پارامترها!$B$6)</f>
        <v/>
      </c>
      <c r="Q11" s="7" t="str">
        <f aca="false">IF($A11="","",$O11*پارامترها!$B$14)</f>
        <v/>
      </c>
      <c r="R11" s="7" t="str">
        <f aca="false">IF($A11="","",$O11+$P11+$Q11)</f>
        <v/>
      </c>
      <c r="S11" s="7" t="str">
        <f aca="false">IF($A11="","",IF($E11&gt;0,$E11*$C11*پارامترها!$B$6,$R11*(1+پارامترها!$B$23)))</f>
        <v/>
      </c>
      <c r="T11" s="7" t="str">
        <f aca="false">IF($A11="","",$S11*$N11)</f>
        <v/>
      </c>
      <c r="U11" s="7" t="str">
        <f aca="false">IF($A11="","",$D11*پارامترها!$B$16)</f>
        <v/>
      </c>
      <c r="V11" s="7" t="str">
        <f aca="false">IF($A11="","",پارامترها!$B$19*IF(پارامترها!$B$20="وزن",IF(SUM($D$5:$D$29)=0,0,$D11/SUM($D$5:$D$29)),IF(SUMPRODUCT($B$5:$B$29,$C$5:$C$29)=0,0,$B11*$C11/SUMPRODUCT($B$5:$B$29,$C$5:$C$29))))</f>
        <v/>
      </c>
      <c r="W11" s="7" t="str">
        <f aca="false">IF($A11="","",$H11*$C11)</f>
        <v/>
      </c>
      <c r="X11" s="7" t="str">
        <f aca="false">IF($A11="","",($S11+$T11)*پارامترها!$B$21)</f>
        <v/>
      </c>
      <c r="Y11" s="7" t="str">
        <f aca="false">IF($A11="","",$R11+$T11+$U11+$V11+$W11+IF(پارامترها!$B$22="بله",$X11,0))</f>
        <v/>
      </c>
      <c r="Z11" s="7" t="str">
        <f aca="false">IF($A11="","",IF($C11=0,0,$Y11/$C11))</f>
        <v/>
      </c>
      <c r="AA11" s="7" t="str">
        <f aca="false">IF($A11="","",$J11/(1+پارامترها!$B$21))</f>
        <v/>
      </c>
      <c r="AB11" s="7" t="str">
        <f aca="false">IF($A11="","",$AA11*$K11)</f>
        <v/>
      </c>
      <c r="AC11" s="7" t="str">
        <f aca="false">IF($A11="","",$AA11*$M11)</f>
        <v/>
      </c>
      <c r="AD11" s="7" t="str">
        <f aca="false">IF($A11="","",($AA11-$AB11)*$M11)</f>
        <v/>
      </c>
      <c r="AE11" s="7" t="str">
        <f aca="false">IF($A11="","",$AD11-$Y11)</f>
        <v/>
      </c>
      <c r="AF11" s="7" t="str">
        <f aca="false">IF($A11="","",IF($C11=0,0,$AE11/$C11))</f>
        <v/>
      </c>
      <c r="AG11" s="16" t="str">
        <f aca="false">IF($A11="","",IF($AC11=0,0,$AE11/$AC11))</f>
        <v/>
      </c>
      <c r="AH11" s="7" t="str">
        <f aca="false">IF($A11="","",IF(OR($K11&gt;=1,$M11=0),0,$Y11/((1-$K11)*$M11)*(1+پارامترها!$B$21)))</f>
        <v/>
      </c>
      <c r="AI11" s="7" t="str">
        <f aca="false">IF($A11="","",IF(OR((1-$K11-پارامترها!$B$24)&lt;=0,$M11=0),0,$Y11/($M11*(1-$K11-پارامترها!$B$24))*(1+پارامترها!$B$21)))</f>
        <v/>
      </c>
      <c r="AJ11" s="7" t="str">
        <f aca="false">IF($A11="","",IF($AP11=0,0,($AD11-$AQ11)/$AP11))</f>
        <v/>
      </c>
      <c r="AK11" s="16" t="str">
        <f aca="false">IF($A11="","",IF(پارامترها!$B$6=0,0,($AJ11-پارامترها!$B$6)/پارامترها!$B$6))</f>
        <v/>
      </c>
      <c r="AL11" s="16" t="str">
        <f aca="false">IF($A11="","",IF(OR($Y11=0,$L11=0),0,$AE11/$Y11*365/$L11))</f>
        <v/>
      </c>
      <c r="AM11" s="16" t="str">
        <f aca="false">IF($A11="","",IF($I11=0,0,($J11-$I11)/$I11))</f>
        <v/>
      </c>
      <c r="AN11" s="17" t="str">
        <f aca="false">IF($A11="","",$B11*$C11*(1+پارامترها!$B$14)+$D11*پارامترها!$B$13)</f>
        <v/>
      </c>
      <c r="AO11" s="17" t="str">
        <f aca="false">IF($A11="","",IF($E11&gt;0,$E11*$C11,$AN11*(1+پارامترها!$B$23)))</f>
        <v/>
      </c>
      <c r="AP11" s="7" t="str">
        <f aca="false">IF($A11="","",$AN11+$AO11*$N11+IF(پارامترها!$B$22="بله",$AO11*(1+$N11)*پارامترها!$B$21,0))</f>
        <v/>
      </c>
      <c r="AQ11" s="7" t="str">
        <f aca="false">IF($A11="","",$U11+$V11+$W11)</f>
        <v/>
      </c>
    </row>
    <row r="12" customFormat="false" ht="15" hidden="false" customHeight="false" outlineLevel="0" collapsed="false">
      <c r="A12" s="8"/>
      <c r="B12" s="9"/>
      <c r="C12" s="5"/>
      <c r="D12" s="14"/>
      <c r="E12" s="9"/>
      <c r="F12" s="10"/>
      <c r="G12" s="10"/>
      <c r="H12" s="5"/>
      <c r="I12" s="5"/>
      <c r="J12" s="5"/>
      <c r="K12" s="10"/>
      <c r="L12" s="5"/>
      <c r="M12" s="15" t="str">
        <f aca="false">IF($A12="","",$C12*(1-$G12))</f>
        <v/>
      </c>
      <c r="N12" s="16" t="str">
        <f aca="false">IF($A12="","",IF($F12="",پارامترها!$B$15,$F12))</f>
        <v/>
      </c>
      <c r="O12" s="7" t="str">
        <f aca="false">IF($A12="","",$B12*$C12*پارامترها!$B$6)</f>
        <v/>
      </c>
      <c r="P12" s="7" t="str">
        <f aca="false">IF($A12="","",$D12*پارامترها!$B$13*پارامترها!$B$6)</f>
        <v/>
      </c>
      <c r="Q12" s="7" t="str">
        <f aca="false">IF($A12="","",$O12*پارامترها!$B$14)</f>
        <v/>
      </c>
      <c r="R12" s="7" t="str">
        <f aca="false">IF($A12="","",$O12+$P12+$Q12)</f>
        <v/>
      </c>
      <c r="S12" s="7" t="str">
        <f aca="false">IF($A12="","",IF($E12&gt;0,$E12*$C12*پارامترها!$B$6,$R12*(1+پارامترها!$B$23)))</f>
        <v/>
      </c>
      <c r="T12" s="7" t="str">
        <f aca="false">IF($A12="","",$S12*$N12)</f>
        <v/>
      </c>
      <c r="U12" s="7" t="str">
        <f aca="false">IF($A12="","",$D12*پارامترها!$B$16)</f>
        <v/>
      </c>
      <c r="V12" s="7" t="str">
        <f aca="false">IF($A12="","",پارامترها!$B$19*IF(پارامترها!$B$20="وزن",IF(SUM($D$5:$D$29)=0,0,$D12/SUM($D$5:$D$29)),IF(SUMPRODUCT($B$5:$B$29,$C$5:$C$29)=0,0,$B12*$C12/SUMPRODUCT($B$5:$B$29,$C$5:$C$29))))</f>
        <v/>
      </c>
      <c r="W12" s="7" t="str">
        <f aca="false">IF($A12="","",$H12*$C12)</f>
        <v/>
      </c>
      <c r="X12" s="7" t="str">
        <f aca="false">IF($A12="","",($S12+$T12)*پارامترها!$B$21)</f>
        <v/>
      </c>
      <c r="Y12" s="7" t="str">
        <f aca="false">IF($A12="","",$R12+$T12+$U12+$V12+$W12+IF(پارامترها!$B$22="بله",$X12,0))</f>
        <v/>
      </c>
      <c r="Z12" s="7" t="str">
        <f aca="false">IF($A12="","",IF($C12=0,0,$Y12/$C12))</f>
        <v/>
      </c>
      <c r="AA12" s="7" t="str">
        <f aca="false">IF($A12="","",$J12/(1+پارامترها!$B$21))</f>
        <v/>
      </c>
      <c r="AB12" s="7" t="str">
        <f aca="false">IF($A12="","",$AA12*$K12)</f>
        <v/>
      </c>
      <c r="AC12" s="7" t="str">
        <f aca="false">IF($A12="","",$AA12*$M12)</f>
        <v/>
      </c>
      <c r="AD12" s="7" t="str">
        <f aca="false">IF($A12="","",($AA12-$AB12)*$M12)</f>
        <v/>
      </c>
      <c r="AE12" s="7" t="str">
        <f aca="false">IF($A12="","",$AD12-$Y12)</f>
        <v/>
      </c>
      <c r="AF12" s="7" t="str">
        <f aca="false">IF($A12="","",IF($C12=0,0,$AE12/$C12))</f>
        <v/>
      </c>
      <c r="AG12" s="16" t="str">
        <f aca="false">IF($A12="","",IF($AC12=0,0,$AE12/$AC12))</f>
        <v/>
      </c>
      <c r="AH12" s="7" t="str">
        <f aca="false">IF($A12="","",IF(OR($K12&gt;=1,$M12=0),0,$Y12/((1-$K12)*$M12)*(1+پارامترها!$B$21)))</f>
        <v/>
      </c>
      <c r="AI12" s="7" t="str">
        <f aca="false">IF($A12="","",IF(OR((1-$K12-پارامترها!$B$24)&lt;=0,$M12=0),0,$Y12/($M12*(1-$K12-پارامترها!$B$24))*(1+پارامترها!$B$21)))</f>
        <v/>
      </c>
      <c r="AJ12" s="7" t="str">
        <f aca="false">IF($A12="","",IF($AP12=0,0,($AD12-$AQ12)/$AP12))</f>
        <v/>
      </c>
      <c r="AK12" s="16" t="str">
        <f aca="false">IF($A12="","",IF(پارامترها!$B$6=0,0,($AJ12-پارامترها!$B$6)/پارامترها!$B$6))</f>
        <v/>
      </c>
      <c r="AL12" s="16" t="str">
        <f aca="false">IF($A12="","",IF(OR($Y12=0,$L12=0),0,$AE12/$Y12*365/$L12))</f>
        <v/>
      </c>
      <c r="AM12" s="16" t="str">
        <f aca="false">IF($A12="","",IF($I12=0,0,($J12-$I12)/$I12))</f>
        <v/>
      </c>
      <c r="AN12" s="17" t="str">
        <f aca="false">IF($A12="","",$B12*$C12*(1+پارامترها!$B$14)+$D12*پارامترها!$B$13)</f>
        <v/>
      </c>
      <c r="AO12" s="17" t="str">
        <f aca="false">IF($A12="","",IF($E12&gt;0,$E12*$C12,$AN12*(1+پارامترها!$B$23)))</f>
        <v/>
      </c>
      <c r="AP12" s="7" t="str">
        <f aca="false">IF($A12="","",$AN12+$AO12*$N12+IF(پارامترها!$B$22="بله",$AO12*(1+$N12)*پارامترها!$B$21,0))</f>
        <v/>
      </c>
      <c r="AQ12" s="7" t="str">
        <f aca="false">IF($A12="","",$U12+$V12+$W12)</f>
        <v/>
      </c>
    </row>
    <row r="13" customFormat="false" ht="15" hidden="false" customHeight="false" outlineLevel="0" collapsed="false">
      <c r="A13" s="8"/>
      <c r="B13" s="9"/>
      <c r="C13" s="5"/>
      <c r="D13" s="14"/>
      <c r="E13" s="9"/>
      <c r="F13" s="10"/>
      <c r="G13" s="10"/>
      <c r="H13" s="5"/>
      <c r="I13" s="5"/>
      <c r="J13" s="5"/>
      <c r="K13" s="10"/>
      <c r="L13" s="5"/>
      <c r="M13" s="15" t="str">
        <f aca="false">IF($A13="","",$C13*(1-$G13))</f>
        <v/>
      </c>
      <c r="N13" s="16" t="str">
        <f aca="false">IF($A13="","",IF($F13="",پارامترها!$B$15,$F13))</f>
        <v/>
      </c>
      <c r="O13" s="7" t="str">
        <f aca="false">IF($A13="","",$B13*$C13*پارامترها!$B$6)</f>
        <v/>
      </c>
      <c r="P13" s="7" t="str">
        <f aca="false">IF($A13="","",$D13*پارامترها!$B$13*پارامترها!$B$6)</f>
        <v/>
      </c>
      <c r="Q13" s="7" t="str">
        <f aca="false">IF($A13="","",$O13*پارامترها!$B$14)</f>
        <v/>
      </c>
      <c r="R13" s="7" t="str">
        <f aca="false">IF($A13="","",$O13+$P13+$Q13)</f>
        <v/>
      </c>
      <c r="S13" s="7" t="str">
        <f aca="false">IF($A13="","",IF($E13&gt;0,$E13*$C13*پارامترها!$B$6,$R13*(1+پارامترها!$B$23)))</f>
        <v/>
      </c>
      <c r="T13" s="7" t="str">
        <f aca="false">IF($A13="","",$S13*$N13)</f>
        <v/>
      </c>
      <c r="U13" s="7" t="str">
        <f aca="false">IF($A13="","",$D13*پارامترها!$B$16)</f>
        <v/>
      </c>
      <c r="V13" s="7" t="str">
        <f aca="false">IF($A13="","",پارامترها!$B$19*IF(پارامترها!$B$20="وزن",IF(SUM($D$5:$D$29)=0,0,$D13/SUM($D$5:$D$29)),IF(SUMPRODUCT($B$5:$B$29,$C$5:$C$29)=0,0,$B13*$C13/SUMPRODUCT($B$5:$B$29,$C$5:$C$29))))</f>
        <v/>
      </c>
      <c r="W13" s="7" t="str">
        <f aca="false">IF($A13="","",$H13*$C13)</f>
        <v/>
      </c>
      <c r="X13" s="7" t="str">
        <f aca="false">IF($A13="","",($S13+$T13)*پارامترها!$B$21)</f>
        <v/>
      </c>
      <c r="Y13" s="7" t="str">
        <f aca="false">IF($A13="","",$R13+$T13+$U13+$V13+$W13+IF(پارامترها!$B$22="بله",$X13,0))</f>
        <v/>
      </c>
      <c r="Z13" s="7" t="str">
        <f aca="false">IF($A13="","",IF($C13=0,0,$Y13/$C13))</f>
        <v/>
      </c>
      <c r="AA13" s="7" t="str">
        <f aca="false">IF($A13="","",$J13/(1+پارامترها!$B$21))</f>
        <v/>
      </c>
      <c r="AB13" s="7" t="str">
        <f aca="false">IF($A13="","",$AA13*$K13)</f>
        <v/>
      </c>
      <c r="AC13" s="7" t="str">
        <f aca="false">IF($A13="","",$AA13*$M13)</f>
        <v/>
      </c>
      <c r="AD13" s="7" t="str">
        <f aca="false">IF($A13="","",($AA13-$AB13)*$M13)</f>
        <v/>
      </c>
      <c r="AE13" s="7" t="str">
        <f aca="false">IF($A13="","",$AD13-$Y13)</f>
        <v/>
      </c>
      <c r="AF13" s="7" t="str">
        <f aca="false">IF($A13="","",IF($C13=0,0,$AE13/$C13))</f>
        <v/>
      </c>
      <c r="AG13" s="16" t="str">
        <f aca="false">IF($A13="","",IF($AC13=0,0,$AE13/$AC13))</f>
        <v/>
      </c>
      <c r="AH13" s="7" t="str">
        <f aca="false">IF($A13="","",IF(OR($K13&gt;=1,$M13=0),0,$Y13/((1-$K13)*$M13)*(1+پارامترها!$B$21)))</f>
        <v/>
      </c>
      <c r="AI13" s="7" t="str">
        <f aca="false">IF($A13="","",IF(OR((1-$K13-پارامترها!$B$24)&lt;=0,$M13=0),0,$Y13/($M13*(1-$K13-پارامترها!$B$24))*(1+پارامترها!$B$21)))</f>
        <v/>
      </c>
      <c r="AJ13" s="7" t="str">
        <f aca="false">IF($A13="","",IF($AP13=0,0,($AD13-$AQ13)/$AP13))</f>
        <v/>
      </c>
      <c r="AK13" s="16" t="str">
        <f aca="false">IF($A13="","",IF(پارامترها!$B$6=0,0,($AJ13-پارامترها!$B$6)/پارامترها!$B$6))</f>
        <v/>
      </c>
      <c r="AL13" s="16" t="str">
        <f aca="false">IF($A13="","",IF(OR($Y13=0,$L13=0),0,$AE13/$Y13*365/$L13))</f>
        <v/>
      </c>
      <c r="AM13" s="16" t="str">
        <f aca="false">IF($A13="","",IF($I13=0,0,($J13-$I13)/$I13))</f>
        <v/>
      </c>
      <c r="AN13" s="17" t="str">
        <f aca="false">IF($A13="","",$B13*$C13*(1+پارامترها!$B$14)+$D13*پارامترها!$B$13)</f>
        <v/>
      </c>
      <c r="AO13" s="17" t="str">
        <f aca="false">IF($A13="","",IF($E13&gt;0,$E13*$C13,$AN13*(1+پارامترها!$B$23)))</f>
        <v/>
      </c>
      <c r="AP13" s="7" t="str">
        <f aca="false">IF($A13="","",$AN13+$AO13*$N13+IF(پارامترها!$B$22="بله",$AO13*(1+$N13)*پارامترها!$B$21,0))</f>
        <v/>
      </c>
      <c r="AQ13" s="7" t="str">
        <f aca="false">IF($A13="","",$U13+$V13+$W13)</f>
        <v/>
      </c>
    </row>
    <row r="14" customFormat="false" ht="15" hidden="false" customHeight="false" outlineLevel="0" collapsed="false">
      <c r="A14" s="8"/>
      <c r="B14" s="9"/>
      <c r="C14" s="5"/>
      <c r="D14" s="14"/>
      <c r="E14" s="9"/>
      <c r="F14" s="10"/>
      <c r="G14" s="10"/>
      <c r="H14" s="5"/>
      <c r="I14" s="5"/>
      <c r="J14" s="5"/>
      <c r="K14" s="10"/>
      <c r="L14" s="5"/>
      <c r="M14" s="15" t="str">
        <f aca="false">IF($A14="","",$C14*(1-$G14))</f>
        <v/>
      </c>
      <c r="N14" s="16" t="str">
        <f aca="false">IF($A14="","",IF($F14="",پارامترها!$B$15,$F14))</f>
        <v/>
      </c>
      <c r="O14" s="7" t="str">
        <f aca="false">IF($A14="","",$B14*$C14*پارامترها!$B$6)</f>
        <v/>
      </c>
      <c r="P14" s="7" t="str">
        <f aca="false">IF($A14="","",$D14*پارامترها!$B$13*پارامترها!$B$6)</f>
        <v/>
      </c>
      <c r="Q14" s="7" t="str">
        <f aca="false">IF($A14="","",$O14*پارامترها!$B$14)</f>
        <v/>
      </c>
      <c r="R14" s="7" t="str">
        <f aca="false">IF($A14="","",$O14+$P14+$Q14)</f>
        <v/>
      </c>
      <c r="S14" s="7" t="str">
        <f aca="false">IF($A14="","",IF($E14&gt;0,$E14*$C14*پارامترها!$B$6,$R14*(1+پارامترها!$B$23)))</f>
        <v/>
      </c>
      <c r="T14" s="7" t="str">
        <f aca="false">IF($A14="","",$S14*$N14)</f>
        <v/>
      </c>
      <c r="U14" s="7" t="str">
        <f aca="false">IF($A14="","",$D14*پارامترها!$B$16)</f>
        <v/>
      </c>
      <c r="V14" s="7" t="str">
        <f aca="false">IF($A14="","",پارامترها!$B$19*IF(پارامترها!$B$20="وزن",IF(SUM($D$5:$D$29)=0,0,$D14/SUM($D$5:$D$29)),IF(SUMPRODUCT($B$5:$B$29,$C$5:$C$29)=0,0,$B14*$C14/SUMPRODUCT($B$5:$B$29,$C$5:$C$29))))</f>
        <v/>
      </c>
      <c r="W14" s="7" t="str">
        <f aca="false">IF($A14="","",$H14*$C14)</f>
        <v/>
      </c>
      <c r="X14" s="7" t="str">
        <f aca="false">IF($A14="","",($S14+$T14)*پارامترها!$B$21)</f>
        <v/>
      </c>
      <c r="Y14" s="7" t="str">
        <f aca="false">IF($A14="","",$R14+$T14+$U14+$V14+$W14+IF(پارامترها!$B$22="بله",$X14,0))</f>
        <v/>
      </c>
      <c r="Z14" s="7" t="str">
        <f aca="false">IF($A14="","",IF($C14=0,0,$Y14/$C14))</f>
        <v/>
      </c>
      <c r="AA14" s="7" t="str">
        <f aca="false">IF($A14="","",$J14/(1+پارامترها!$B$21))</f>
        <v/>
      </c>
      <c r="AB14" s="7" t="str">
        <f aca="false">IF($A14="","",$AA14*$K14)</f>
        <v/>
      </c>
      <c r="AC14" s="7" t="str">
        <f aca="false">IF($A14="","",$AA14*$M14)</f>
        <v/>
      </c>
      <c r="AD14" s="7" t="str">
        <f aca="false">IF($A14="","",($AA14-$AB14)*$M14)</f>
        <v/>
      </c>
      <c r="AE14" s="7" t="str">
        <f aca="false">IF($A14="","",$AD14-$Y14)</f>
        <v/>
      </c>
      <c r="AF14" s="7" t="str">
        <f aca="false">IF($A14="","",IF($C14=0,0,$AE14/$C14))</f>
        <v/>
      </c>
      <c r="AG14" s="16" t="str">
        <f aca="false">IF($A14="","",IF($AC14=0,0,$AE14/$AC14))</f>
        <v/>
      </c>
      <c r="AH14" s="7" t="str">
        <f aca="false">IF($A14="","",IF(OR($K14&gt;=1,$M14=0),0,$Y14/((1-$K14)*$M14)*(1+پارامترها!$B$21)))</f>
        <v/>
      </c>
      <c r="AI14" s="7" t="str">
        <f aca="false">IF($A14="","",IF(OR((1-$K14-پارامترها!$B$24)&lt;=0,$M14=0),0,$Y14/($M14*(1-$K14-پارامترها!$B$24))*(1+پارامترها!$B$21)))</f>
        <v/>
      </c>
      <c r="AJ14" s="7" t="str">
        <f aca="false">IF($A14="","",IF($AP14=0,0,($AD14-$AQ14)/$AP14))</f>
        <v/>
      </c>
      <c r="AK14" s="16" t="str">
        <f aca="false">IF($A14="","",IF(پارامترها!$B$6=0,0,($AJ14-پارامترها!$B$6)/پارامترها!$B$6))</f>
        <v/>
      </c>
      <c r="AL14" s="16" t="str">
        <f aca="false">IF($A14="","",IF(OR($Y14=0,$L14=0),0,$AE14/$Y14*365/$L14))</f>
        <v/>
      </c>
      <c r="AM14" s="16" t="str">
        <f aca="false">IF($A14="","",IF($I14=0,0,($J14-$I14)/$I14))</f>
        <v/>
      </c>
      <c r="AN14" s="17" t="str">
        <f aca="false">IF($A14="","",$B14*$C14*(1+پارامترها!$B$14)+$D14*پارامترها!$B$13)</f>
        <v/>
      </c>
      <c r="AO14" s="17" t="str">
        <f aca="false">IF($A14="","",IF($E14&gt;0,$E14*$C14,$AN14*(1+پارامترها!$B$23)))</f>
        <v/>
      </c>
      <c r="AP14" s="7" t="str">
        <f aca="false">IF($A14="","",$AN14+$AO14*$N14+IF(پارامترها!$B$22="بله",$AO14*(1+$N14)*پارامترها!$B$21,0))</f>
        <v/>
      </c>
      <c r="AQ14" s="7" t="str">
        <f aca="false">IF($A14="","",$U14+$V14+$W14)</f>
        <v/>
      </c>
    </row>
    <row r="15" customFormat="false" ht="15" hidden="false" customHeight="false" outlineLevel="0" collapsed="false">
      <c r="A15" s="8"/>
      <c r="B15" s="9"/>
      <c r="C15" s="5"/>
      <c r="D15" s="14"/>
      <c r="E15" s="9"/>
      <c r="F15" s="10"/>
      <c r="G15" s="10"/>
      <c r="H15" s="5"/>
      <c r="I15" s="5"/>
      <c r="J15" s="5"/>
      <c r="K15" s="10"/>
      <c r="L15" s="5"/>
      <c r="M15" s="15" t="str">
        <f aca="false">IF($A15="","",$C15*(1-$G15))</f>
        <v/>
      </c>
      <c r="N15" s="16" t="str">
        <f aca="false">IF($A15="","",IF($F15="",پارامترها!$B$15,$F15))</f>
        <v/>
      </c>
      <c r="O15" s="7" t="str">
        <f aca="false">IF($A15="","",$B15*$C15*پارامترها!$B$6)</f>
        <v/>
      </c>
      <c r="P15" s="7" t="str">
        <f aca="false">IF($A15="","",$D15*پارامترها!$B$13*پارامترها!$B$6)</f>
        <v/>
      </c>
      <c r="Q15" s="7" t="str">
        <f aca="false">IF($A15="","",$O15*پارامترها!$B$14)</f>
        <v/>
      </c>
      <c r="R15" s="7" t="str">
        <f aca="false">IF($A15="","",$O15+$P15+$Q15)</f>
        <v/>
      </c>
      <c r="S15" s="7" t="str">
        <f aca="false">IF($A15="","",IF($E15&gt;0,$E15*$C15*پارامترها!$B$6,$R15*(1+پارامترها!$B$23)))</f>
        <v/>
      </c>
      <c r="T15" s="7" t="str">
        <f aca="false">IF($A15="","",$S15*$N15)</f>
        <v/>
      </c>
      <c r="U15" s="7" t="str">
        <f aca="false">IF($A15="","",$D15*پارامترها!$B$16)</f>
        <v/>
      </c>
      <c r="V15" s="7" t="str">
        <f aca="false">IF($A15="","",پارامترها!$B$19*IF(پارامترها!$B$20="وزن",IF(SUM($D$5:$D$29)=0,0,$D15/SUM($D$5:$D$29)),IF(SUMPRODUCT($B$5:$B$29,$C$5:$C$29)=0,0,$B15*$C15/SUMPRODUCT($B$5:$B$29,$C$5:$C$29))))</f>
        <v/>
      </c>
      <c r="W15" s="7" t="str">
        <f aca="false">IF($A15="","",$H15*$C15)</f>
        <v/>
      </c>
      <c r="X15" s="7" t="str">
        <f aca="false">IF($A15="","",($S15+$T15)*پارامترها!$B$21)</f>
        <v/>
      </c>
      <c r="Y15" s="7" t="str">
        <f aca="false">IF($A15="","",$R15+$T15+$U15+$V15+$W15+IF(پارامترها!$B$22="بله",$X15,0))</f>
        <v/>
      </c>
      <c r="Z15" s="7" t="str">
        <f aca="false">IF($A15="","",IF($C15=0,0,$Y15/$C15))</f>
        <v/>
      </c>
      <c r="AA15" s="7" t="str">
        <f aca="false">IF($A15="","",$J15/(1+پارامترها!$B$21))</f>
        <v/>
      </c>
      <c r="AB15" s="7" t="str">
        <f aca="false">IF($A15="","",$AA15*$K15)</f>
        <v/>
      </c>
      <c r="AC15" s="7" t="str">
        <f aca="false">IF($A15="","",$AA15*$M15)</f>
        <v/>
      </c>
      <c r="AD15" s="7" t="str">
        <f aca="false">IF($A15="","",($AA15-$AB15)*$M15)</f>
        <v/>
      </c>
      <c r="AE15" s="7" t="str">
        <f aca="false">IF($A15="","",$AD15-$Y15)</f>
        <v/>
      </c>
      <c r="AF15" s="7" t="str">
        <f aca="false">IF($A15="","",IF($C15=0,0,$AE15/$C15))</f>
        <v/>
      </c>
      <c r="AG15" s="16" t="str">
        <f aca="false">IF($A15="","",IF($AC15=0,0,$AE15/$AC15))</f>
        <v/>
      </c>
      <c r="AH15" s="7" t="str">
        <f aca="false">IF($A15="","",IF(OR($K15&gt;=1,$M15=0),0,$Y15/((1-$K15)*$M15)*(1+پارامترها!$B$21)))</f>
        <v/>
      </c>
      <c r="AI15" s="7" t="str">
        <f aca="false">IF($A15="","",IF(OR((1-$K15-پارامترها!$B$24)&lt;=0,$M15=0),0,$Y15/($M15*(1-$K15-پارامترها!$B$24))*(1+پارامترها!$B$21)))</f>
        <v/>
      </c>
      <c r="AJ15" s="7" t="str">
        <f aca="false">IF($A15="","",IF($AP15=0,0,($AD15-$AQ15)/$AP15))</f>
        <v/>
      </c>
      <c r="AK15" s="16" t="str">
        <f aca="false">IF($A15="","",IF(پارامترها!$B$6=0,0,($AJ15-پارامترها!$B$6)/پارامترها!$B$6))</f>
        <v/>
      </c>
      <c r="AL15" s="16" t="str">
        <f aca="false">IF($A15="","",IF(OR($Y15=0,$L15=0),0,$AE15/$Y15*365/$L15))</f>
        <v/>
      </c>
      <c r="AM15" s="16" t="str">
        <f aca="false">IF($A15="","",IF($I15=0,0,($J15-$I15)/$I15))</f>
        <v/>
      </c>
      <c r="AN15" s="17" t="str">
        <f aca="false">IF($A15="","",$B15*$C15*(1+پارامترها!$B$14)+$D15*پارامترها!$B$13)</f>
        <v/>
      </c>
      <c r="AO15" s="17" t="str">
        <f aca="false">IF($A15="","",IF($E15&gt;0,$E15*$C15,$AN15*(1+پارامترها!$B$23)))</f>
        <v/>
      </c>
      <c r="AP15" s="7" t="str">
        <f aca="false">IF($A15="","",$AN15+$AO15*$N15+IF(پارامترها!$B$22="بله",$AO15*(1+$N15)*پارامترها!$B$21,0))</f>
        <v/>
      </c>
      <c r="AQ15" s="7" t="str">
        <f aca="false">IF($A15="","",$U15+$V15+$W15)</f>
        <v/>
      </c>
    </row>
    <row r="16" customFormat="false" ht="15" hidden="false" customHeight="false" outlineLevel="0" collapsed="false">
      <c r="A16" s="8"/>
      <c r="B16" s="9"/>
      <c r="C16" s="5"/>
      <c r="D16" s="14"/>
      <c r="E16" s="9"/>
      <c r="F16" s="10"/>
      <c r="G16" s="10"/>
      <c r="H16" s="5"/>
      <c r="I16" s="5"/>
      <c r="J16" s="5"/>
      <c r="K16" s="10"/>
      <c r="L16" s="5"/>
      <c r="M16" s="15" t="str">
        <f aca="false">IF($A16="","",$C16*(1-$G16))</f>
        <v/>
      </c>
      <c r="N16" s="16" t="str">
        <f aca="false">IF($A16="","",IF($F16="",پارامترها!$B$15,$F16))</f>
        <v/>
      </c>
      <c r="O16" s="7" t="str">
        <f aca="false">IF($A16="","",$B16*$C16*پارامترها!$B$6)</f>
        <v/>
      </c>
      <c r="P16" s="7" t="str">
        <f aca="false">IF($A16="","",$D16*پارامترها!$B$13*پارامترها!$B$6)</f>
        <v/>
      </c>
      <c r="Q16" s="7" t="str">
        <f aca="false">IF($A16="","",$O16*پارامترها!$B$14)</f>
        <v/>
      </c>
      <c r="R16" s="7" t="str">
        <f aca="false">IF($A16="","",$O16+$P16+$Q16)</f>
        <v/>
      </c>
      <c r="S16" s="7" t="str">
        <f aca="false">IF($A16="","",IF($E16&gt;0,$E16*$C16*پارامترها!$B$6,$R16*(1+پارامترها!$B$23)))</f>
        <v/>
      </c>
      <c r="T16" s="7" t="str">
        <f aca="false">IF($A16="","",$S16*$N16)</f>
        <v/>
      </c>
      <c r="U16" s="7" t="str">
        <f aca="false">IF($A16="","",$D16*پارامترها!$B$16)</f>
        <v/>
      </c>
      <c r="V16" s="7" t="str">
        <f aca="false">IF($A16="","",پارامترها!$B$19*IF(پارامترها!$B$20="وزن",IF(SUM($D$5:$D$29)=0,0,$D16/SUM($D$5:$D$29)),IF(SUMPRODUCT($B$5:$B$29,$C$5:$C$29)=0,0,$B16*$C16/SUMPRODUCT($B$5:$B$29,$C$5:$C$29))))</f>
        <v/>
      </c>
      <c r="W16" s="7" t="str">
        <f aca="false">IF($A16="","",$H16*$C16)</f>
        <v/>
      </c>
      <c r="X16" s="7" t="str">
        <f aca="false">IF($A16="","",($S16+$T16)*پارامترها!$B$21)</f>
        <v/>
      </c>
      <c r="Y16" s="7" t="str">
        <f aca="false">IF($A16="","",$R16+$T16+$U16+$V16+$W16+IF(پارامترها!$B$22="بله",$X16,0))</f>
        <v/>
      </c>
      <c r="Z16" s="7" t="str">
        <f aca="false">IF($A16="","",IF($C16=0,0,$Y16/$C16))</f>
        <v/>
      </c>
      <c r="AA16" s="7" t="str">
        <f aca="false">IF($A16="","",$J16/(1+پارامترها!$B$21))</f>
        <v/>
      </c>
      <c r="AB16" s="7" t="str">
        <f aca="false">IF($A16="","",$AA16*$K16)</f>
        <v/>
      </c>
      <c r="AC16" s="7" t="str">
        <f aca="false">IF($A16="","",$AA16*$M16)</f>
        <v/>
      </c>
      <c r="AD16" s="7" t="str">
        <f aca="false">IF($A16="","",($AA16-$AB16)*$M16)</f>
        <v/>
      </c>
      <c r="AE16" s="7" t="str">
        <f aca="false">IF($A16="","",$AD16-$Y16)</f>
        <v/>
      </c>
      <c r="AF16" s="7" t="str">
        <f aca="false">IF($A16="","",IF($C16=0,0,$AE16/$C16))</f>
        <v/>
      </c>
      <c r="AG16" s="16" t="str">
        <f aca="false">IF($A16="","",IF($AC16=0,0,$AE16/$AC16))</f>
        <v/>
      </c>
      <c r="AH16" s="7" t="str">
        <f aca="false">IF($A16="","",IF(OR($K16&gt;=1,$M16=0),0,$Y16/((1-$K16)*$M16)*(1+پارامترها!$B$21)))</f>
        <v/>
      </c>
      <c r="AI16" s="7" t="str">
        <f aca="false">IF($A16="","",IF(OR((1-$K16-پارامترها!$B$24)&lt;=0,$M16=0),0,$Y16/($M16*(1-$K16-پارامترها!$B$24))*(1+پارامترها!$B$21)))</f>
        <v/>
      </c>
      <c r="AJ16" s="7" t="str">
        <f aca="false">IF($A16="","",IF($AP16=0,0,($AD16-$AQ16)/$AP16))</f>
        <v/>
      </c>
      <c r="AK16" s="16" t="str">
        <f aca="false">IF($A16="","",IF(پارامترها!$B$6=0,0,($AJ16-پارامترها!$B$6)/پارامترها!$B$6))</f>
        <v/>
      </c>
      <c r="AL16" s="16" t="str">
        <f aca="false">IF($A16="","",IF(OR($Y16=0,$L16=0),0,$AE16/$Y16*365/$L16))</f>
        <v/>
      </c>
      <c r="AM16" s="16" t="str">
        <f aca="false">IF($A16="","",IF($I16=0,0,($J16-$I16)/$I16))</f>
        <v/>
      </c>
      <c r="AN16" s="17" t="str">
        <f aca="false">IF($A16="","",$B16*$C16*(1+پارامترها!$B$14)+$D16*پارامترها!$B$13)</f>
        <v/>
      </c>
      <c r="AO16" s="17" t="str">
        <f aca="false">IF($A16="","",IF($E16&gt;0,$E16*$C16,$AN16*(1+پارامترها!$B$23)))</f>
        <v/>
      </c>
      <c r="AP16" s="7" t="str">
        <f aca="false">IF($A16="","",$AN16+$AO16*$N16+IF(پارامترها!$B$22="بله",$AO16*(1+$N16)*پارامترها!$B$21,0))</f>
        <v/>
      </c>
      <c r="AQ16" s="7" t="str">
        <f aca="false">IF($A16="","",$U16+$V16+$W16)</f>
        <v/>
      </c>
    </row>
    <row r="17" customFormat="false" ht="15" hidden="false" customHeight="false" outlineLevel="0" collapsed="false">
      <c r="A17" s="8"/>
      <c r="B17" s="9"/>
      <c r="C17" s="5"/>
      <c r="D17" s="14"/>
      <c r="E17" s="9"/>
      <c r="F17" s="10"/>
      <c r="G17" s="10"/>
      <c r="H17" s="5"/>
      <c r="I17" s="5"/>
      <c r="J17" s="5"/>
      <c r="K17" s="10"/>
      <c r="L17" s="5"/>
      <c r="M17" s="15" t="str">
        <f aca="false">IF($A17="","",$C17*(1-$G17))</f>
        <v/>
      </c>
      <c r="N17" s="16" t="str">
        <f aca="false">IF($A17="","",IF($F17="",پارامترها!$B$15,$F17))</f>
        <v/>
      </c>
      <c r="O17" s="7" t="str">
        <f aca="false">IF($A17="","",$B17*$C17*پارامترها!$B$6)</f>
        <v/>
      </c>
      <c r="P17" s="7" t="str">
        <f aca="false">IF($A17="","",$D17*پارامترها!$B$13*پارامترها!$B$6)</f>
        <v/>
      </c>
      <c r="Q17" s="7" t="str">
        <f aca="false">IF($A17="","",$O17*پارامترها!$B$14)</f>
        <v/>
      </c>
      <c r="R17" s="7" t="str">
        <f aca="false">IF($A17="","",$O17+$P17+$Q17)</f>
        <v/>
      </c>
      <c r="S17" s="7" t="str">
        <f aca="false">IF($A17="","",IF($E17&gt;0,$E17*$C17*پارامترها!$B$6,$R17*(1+پارامترها!$B$23)))</f>
        <v/>
      </c>
      <c r="T17" s="7" t="str">
        <f aca="false">IF($A17="","",$S17*$N17)</f>
        <v/>
      </c>
      <c r="U17" s="7" t="str">
        <f aca="false">IF($A17="","",$D17*پارامترها!$B$16)</f>
        <v/>
      </c>
      <c r="V17" s="7" t="str">
        <f aca="false">IF($A17="","",پارامترها!$B$19*IF(پارامترها!$B$20="وزن",IF(SUM($D$5:$D$29)=0,0,$D17/SUM($D$5:$D$29)),IF(SUMPRODUCT($B$5:$B$29,$C$5:$C$29)=0,0,$B17*$C17/SUMPRODUCT($B$5:$B$29,$C$5:$C$29))))</f>
        <v/>
      </c>
      <c r="W17" s="7" t="str">
        <f aca="false">IF($A17="","",$H17*$C17)</f>
        <v/>
      </c>
      <c r="X17" s="7" t="str">
        <f aca="false">IF($A17="","",($S17+$T17)*پارامترها!$B$21)</f>
        <v/>
      </c>
      <c r="Y17" s="7" t="str">
        <f aca="false">IF($A17="","",$R17+$T17+$U17+$V17+$W17+IF(پارامترها!$B$22="بله",$X17,0))</f>
        <v/>
      </c>
      <c r="Z17" s="7" t="str">
        <f aca="false">IF($A17="","",IF($C17=0,0,$Y17/$C17))</f>
        <v/>
      </c>
      <c r="AA17" s="7" t="str">
        <f aca="false">IF($A17="","",$J17/(1+پارامترها!$B$21))</f>
        <v/>
      </c>
      <c r="AB17" s="7" t="str">
        <f aca="false">IF($A17="","",$AA17*$K17)</f>
        <v/>
      </c>
      <c r="AC17" s="7" t="str">
        <f aca="false">IF($A17="","",$AA17*$M17)</f>
        <v/>
      </c>
      <c r="AD17" s="7" t="str">
        <f aca="false">IF($A17="","",($AA17-$AB17)*$M17)</f>
        <v/>
      </c>
      <c r="AE17" s="7" t="str">
        <f aca="false">IF($A17="","",$AD17-$Y17)</f>
        <v/>
      </c>
      <c r="AF17" s="7" t="str">
        <f aca="false">IF($A17="","",IF($C17=0,0,$AE17/$C17))</f>
        <v/>
      </c>
      <c r="AG17" s="16" t="str">
        <f aca="false">IF($A17="","",IF($AC17=0,0,$AE17/$AC17))</f>
        <v/>
      </c>
      <c r="AH17" s="7" t="str">
        <f aca="false">IF($A17="","",IF(OR($K17&gt;=1,$M17=0),0,$Y17/((1-$K17)*$M17)*(1+پارامترها!$B$21)))</f>
        <v/>
      </c>
      <c r="AI17" s="7" t="str">
        <f aca="false">IF($A17="","",IF(OR((1-$K17-پارامترها!$B$24)&lt;=0,$M17=0),0,$Y17/($M17*(1-$K17-پارامترها!$B$24))*(1+پارامترها!$B$21)))</f>
        <v/>
      </c>
      <c r="AJ17" s="7" t="str">
        <f aca="false">IF($A17="","",IF($AP17=0,0,($AD17-$AQ17)/$AP17))</f>
        <v/>
      </c>
      <c r="AK17" s="16" t="str">
        <f aca="false">IF($A17="","",IF(پارامترها!$B$6=0,0,($AJ17-پارامترها!$B$6)/پارامترها!$B$6))</f>
        <v/>
      </c>
      <c r="AL17" s="16" t="str">
        <f aca="false">IF($A17="","",IF(OR($Y17=0,$L17=0),0,$AE17/$Y17*365/$L17))</f>
        <v/>
      </c>
      <c r="AM17" s="16" t="str">
        <f aca="false">IF($A17="","",IF($I17=0,0,($J17-$I17)/$I17))</f>
        <v/>
      </c>
      <c r="AN17" s="17" t="str">
        <f aca="false">IF($A17="","",$B17*$C17*(1+پارامترها!$B$14)+$D17*پارامترها!$B$13)</f>
        <v/>
      </c>
      <c r="AO17" s="17" t="str">
        <f aca="false">IF($A17="","",IF($E17&gt;0,$E17*$C17,$AN17*(1+پارامترها!$B$23)))</f>
        <v/>
      </c>
      <c r="AP17" s="7" t="str">
        <f aca="false">IF($A17="","",$AN17+$AO17*$N17+IF(پارامترها!$B$22="بله",$AO17*(1+$N17)*پارامترها!$B$21,0))</f>
        <v/>
      </c>
      <c r="AQ17" s="7" t="str">
        <f aca="false">IF($A17="","",$U17+$V17+$W17)</f>
        <v/>
      </c>
    </row>
    <row r="18" customFormat="false" ht="15" hidden="false" customHeight="false" outlineLevel="0" collapsed="false">
      <c r="A18" s="8"/>
      <c r="B18" s="9"/>
      <c r="C18" s="5"/>
      <c r="D18" s="14"/>
      <c r="E18" s="9"/>
      <c r="F18" s="10"/>
      <c r="G18" s="10"/>
      <c r="H18" s="5"/>
      <c r="I18" s="5"/>
      <c r="J18" s="5"/>
      <c r="K18" s="10"/>
      <c r="L18" s="5"/>
      <c r="M18" s="15" t="str">
        <f aca="false">IF($A18="","",$C18*(1-$G18))</f>
        <v/>
      </c>
      <c r="N18" s="16" t="str">
        <f aca="false">IF($A18="","",IF($F18="",پارامترها!$B$15,$F18))</f>
        <v/>
      </c>
      <c r="O18" s="7" t="str">
        <f aca="false">IF($A18="","",$B18*$C18*پارامترها!$B$6)</f>
        <v/>
      </c>
      <c r="P18" s="7" t="str">
        <f aca="false">IF($A18="","",$D18*پارامترها!$B$13*پارامترها!$B$6)</f>
        <v/>
      </c>
      <c r="Q18" s="7" t="str">
        <f aca="false">IF($A18="","",$O18*پارامترها!$B$14)</f>
        <v/>
      </c>
      <c r="R18" s="7" t="str">
        <f aca="false">IF($A18="","",$O18+$P18+$Q18)</f>
        <v/>
      </c>
      <c r="S18" s="7" t="str">
        <f aca="false">IF($A18="","",IF($E18&gt;0,$E18*$C18*پارامترها!$B$6,$R18*(1+پارامترها!$B$23)))</f>
        <v/>
      </c>
      <c r="T18" s="7" t="str">
        <f aca="false">IF($A18="","",$S18*$N18)</f>
        <v/>
      </c>
      <c r="U18" s="7" t="str">
        <f aca="false">IF($A18="","",$D18*پارامترها!$B$16)</f>
        <v/>
      </c>
      <c r="V18" s="7" t="str">
        <f aca="false">IF($A18="","",پارامترها!$B$19*IF(پارامترها!$B$20="وزن",IF(SUM($D$5:$D$29)=0,0,$D18/SUM($D$5:$D$29)),IF(SUMPRODUCT($B$5:$B$29,$C$5:$C$29)=0,0,$B18*$C18/SUMPRODUCT($B$5:$B$29,$C$5:$C$29))))</f>
        <v/>
      </c>
      <c r="W18" s="7" t="str">
        <f aca="false">IF($A18="","",$H18*$C18)</f>
        <v/>
      </c>
      <c r="X18" s="7" t="str">
        <f aca="false">IF($A18="","",($S18+$T18)*پارامترها!$B$21)</f>
        <v/>
      </c>
      <c r="Y18" s="7" t="str">
        <f aca="false">IF($A18="","",$R18+$T18+$U18+$V18+$W18+IF(پارامترها!$B$22="بله",$X18,0))</f>
        <v/>
      </c>
      <c r="Z18" s="7" t="str">
        <f aca="false">IF($A18="","",IF($C18=0,0,$Y18/$C18))</f>
        <v/>
      </c>
      <c r="AA18" s="7" t="str">
        <f aca="false">IF($A18="","",$J18/(1+پارامترها!$B$21))</f>
        <v/>
      </c>
      <c r="AB18" s="7" t="str">
        <f aca="false">IF($A18="","",$AA18*$K18)</f>
        <v/>
      </c>
      <c r="AC18" s="7" t="str">
        <f aca="false">IF($A18="","",$AA18*$M18)</f>
        <v/>
      </c>
      <c r="AD18" s="7" t="str">
        <f aca="false">IF($A18="","",($AA18-$AB18)*$M18)</f>
        <v/>
      </c>
      <c r="AE18" s="7" t="str">
        <f aca="false">IF($A18="","",$AD18-$Y18)</f>
        <v/>
      </c>
      <c r="AF18" s="7" t="str">
        <f aca="false">IF($A18="","",IF($C18=0,0,$AE18/$C18))</f>
        <v/>
      </c>
      <c r="AG18" s="16" t="str">
        <f aca="false">IF($A18="","",IF($AC18=0,0,$AE18/$AC18))</f>
        <v/>
      </c>
      <c r="AH18" s="7" t="str">
        <f aca="false">IF($A18="","",IF(OR($K18&gt;=1,$M18=0),0,$Y18/((1-$K18)*$M18)*(1+پارامترها!$B$21)))</f>
        <v/>
      </c>
      <c r="AI18" s="7" t="str">
        <f aca="false">IF($A18="","",IF(OR((1-$K18-پارامترها!$B$24)&lt;=0,$M18=0),0,$Y18/($M18*(1-$K18-پارامترها!$B$24))*(1+پارامترها!$B$21)))</f>
        <v/>
      </c>
      <c r="AJ18" s="7" t="str">
        <f aca="false">IF($A18="","",IF($AP18=0,0,($AD18-$AQ18)/$AP18))</f>
        <v/>
      </c>
      <c r="AK18" s="16" t="str">
        <f aca="false">IF($A18="","",IF(پارامترها!$B$6=0,0,($AJ18-پارامترها!$B$6)/پارامترها!$B$6))</f>
        <v/>
      </c>
      <c r="AL18" s="16" t="str">
        <f aca="false">IF($A18="","",IF(OR($Y18=0,$L18=0),0,$AE18/$Y18*365/$L18))</f>
        <v/>
      </c>
      <c r="AM18" s="16" t="str">
        <f aca="false">IF($A18="","",IF($I18=0,0,($J18-$I18)/$I18))</f>
        <v/>
      </c>
      <c r="AN18" s="17" t="str">
        <f aca="false">IF($A18="","",$B18*$C18*(1+پارامترها!$B$14)+$D18*پارامترها!$B$13)</f>
        <v/>
      </c>
      <c r="AO18" s="17" t="str">
        <f aca="false">IF($A18="","",IF($E18&gt;0,$E18*$C18,$AN18*(1+پارامترها!$B$23)))</f>
        <v/>
      </c>
      <c r="AP18" s="7" t="str">
        <f aca="false">IF($A18="","",$AN18+$AO18*$N18+IF(پارامترها!$B$22="بله",$AO18*(1+$N18)*پارامترها!$B$21,0))</f>
        <v/>
      </c>
      <c r="AQ18" s="7" t="str">
        <f aca="false">IF($A18="","",$U18+$V18+$W18)</f>
        <v/>
      </c>
    </row>
    <row r="19" customFormat="false" ht="15" hidden="false" customHeight="false" outlineLevel="0" collapsed="false">
      <c r="A19" s="8"/>
      <c r="B19" s="9"/>
      <c r="C19" s="5"/>
      <c r="D19" s="14"/>
      <c r="E19" s="9"/>
      <c r="F19" s="10"/>
      <c r="G19" s="10"/>
      <c r="H19" s="5"/>
      <c r="I19" s="5"/>
      <c r="J19" s="5"/>
      <c r="K19" s="10"/>
      <c r="L19" s="5"/>
      <c r="M19" s="15" t="str">
        <f aca="false">IF($A19="","",$C19*(1-$G19))</f>
        <v/>
      </c>
      <c r="N19" s="16" t="str">
        <f aca="false">IF($A19="","",IF($F19="",پارامترها!$B$15,$F19))</f>
        <v/>
      </c>
      <c r="O19" s="7" t="str">
        <f aca="false">IF($A19="","",$B19*$C19*پارامترها!$B$6)</f>
        <v/>
      </c>
      <c r="P19" s="7" t="str">
        <f aca="false">IF($A19="","",$D19*پارامترها!$B$13*پارامترها!$B$6)</f>
        <v/>
      </c>
      <c r="Q19" s="7" t="str">
        <f aca="false">IF($A19="","",$O19*پارامترها!$B$14)</f>
        <v/>
      </c>
      <c r="R19" s="7" t="str">
        <f aca="false">IF($A19="","",$O19+$P19+$Q19)</f>
        <v/>
      </c>
      <c r="S19" s="7" t="str">
        <f aca="false">IF($A19="","",IF($E19&gt;0,$E19*$C19*پارامترها!$B$6,$R19*(1+پارامترها!$B$23)))</f>
        <v/>
      </c>
      <c r="T19" s="7" t="str">
        <f aca="false">IF($A19="","",$S19*$N19)</f>
        <v/>
      </c>
      <c r="U19" s="7" t="str">
        <f aca="false">IF($A19="","",$D19*پارامترها!$B$16)</f>
        <v/>
      </c>
      <c r="V19" s="7" t="str">
        <f aca="false">IF($A19="","",پارامترها!$B$19*IF(پارامترها!$B$20="وزن",IF(SUM($D$5:$D$29)=0,0,$D19/SUM($D$5:$D$29)),IF(SUMPRODUCT($B$5:$B$29,$C$5:$C$29)=0,0,$B19*$C19/SUMPRODUCT($B$5:$B$29,$C$5:$C$29))))</f>
        <v/>
      </c>
      <c r="W19" s="7" t="str">
        <f aca="false">IF($A19="","",$H19*$C19)</f>
        <v/>
      </c>
      <c r="X19" s="7" t="str">
        <f aca="false">IF($A19="","",($S19+$T19)*پارامترها!$B$21)</f>
        <v/>
      </c>
      <c r="Y19" s="7" t="str">
        <f aca="false">IF($A19="","",$R19+$T19+$U19+$V19+$W19+IF(پارامترها!$B$22="بله",$X19,0))</f>
        <v/>
      </c>
      <c r="Z19" s="7" t="str">
        <f aca="false">IF($A19="","",IF($C19=0,0,$Y19/$C19))</f>
        <v/>
      </c>
      <c r="AA19" s="7" t="str">
        <f aca="false">IF($A19="","",$J19/(1+پارامترها!$B$21))</f>
        <v/>
      </c>
      <c r="AB19" s="7" t="str">
        <f aca="false">IF($A19="","",$AA19*$K19)</f>
        <v/>
      </c>
      <c r="AC19" s="7" t="str">
        <f aca="false">IF($A19="","",$AA19*$M19)</f>
        <v/>
      </c>
      <c r="AD19" s="7" t="str">
        <f aca="false">IF($A19="","",($AA19-$AB19)*$M19)</f>
        <v/>
      </c>
      <c r="AE19" s="7" t="str">
        <f aca="false">IF($A19="","",$AD19-$Y19)</f>
        <v/>
      </c>
      <c r="AF19" s="7" t="str">
        <f aca="false">IF($A19="","",IF($C19=0,0,$AE19/$C19))</f>
        <v/>
      </c>
      <c r="AG19" s="16" t="str">
        <f aca="false">IF($A19="","",IF($AC19=0,0,$AE19/$AC19))</f>
        <v/>
      </c>
      <c r="AH19" s="7" t="str">
        <f aca="false">IF($A19="","",IF(OR($K19&gt;=1,$M19=0),0,$Y19/((1-$K19)*$M19)*(1+پارامترها!$B$21)))</f>
        <v/>
      </c>
      <c r="AI19" s="7" t="str">
        <f aca="false">IF($A19="","",IF(OR((1-$K19-پارامترها!$B$24)&lt;=0,$M19=0),0,$Y19/($M19*(1-$K19-پارامترها!$B$24))*(1+پارامترها!$B$21)))</f>
        <v/>
      </c>
      <c r="AJ19" s="7" t="str">
        <f aca="false">IF($A19="","",IF($AP19=0,0,($AD19-$AQ19)/$AP19))</f>
        <v/>
      </c>
      <c r="AK19" s="16" t="str">
        <f aca="false">IF($A19="","",IF(پارامترها!$B$6=0,0,($AJ19-پارامترها!$B$6)/پارامترها!$B$6))</f>
        <v/>
      </c>
      <c r="AL19" s="16" t="str">
        <f aca="false">IF($A19="","",IF(OR($Y19=0,$L19=0),0,$AE19/$Y19*365/$L19))</f>
        <v/>
      </c>
      <c r="AM19" s="16" t="str">
        <f aca="false">IF($A19="","",IF($I19=0,0,($J19-$I19)/$I19))</f>
        <v/>
      </c>
      <c r="AN19" s="17" t="str">
        <f aca="false">IF($A19="","",$B19*$C19*(1+پارامترها!$B$14)+$D19*پارامترها!$B$13)</f>
        <v/>
      </c>
      <c r="AO19" s="17" t="str">
        <f aca="false">IF($A19="","",IF($E19&gt;0,$E19*$C19,$AN19*(1+پارامترها!$B$23)))</f>
        <v/>
      </c>
      <c r="AP19" s="7" t="str">
        <f aca="false">IF($A19="","",$AN19+$AO19*$N19+IF(پارامترها!$B$22="بله",$AO19*(1+$N19)*پارامترها!$B$21,0))</f>
        <v/>
      </c>
      <c r="AQ19" s="7" t="str">
        <f aca="false">IF($A19="","",$U19+$V19+$W19)</f>
        <v/>
      </c>
    </row>
    <row r="20" customFormat="false" ht="15" hidden="false" customHeight="false" outlineLevel="0" collapsed="false">
      <c r="A20" s="8"/>
      <c r="B20" s="9"/>
      <c r="C20" s="5"/>
      <c r="D20" s="14"/>
      <c r="E20" s="9"/>
      <c r="F20" s="10"/>
      <c r="G20" s="10"/>
      <c r="H20" s="5"/>
      <c r="I20" s="5"/>
      <c r="J20" s="5"/>
      <c r="K20" s="10"/>
      <c r="L20" s="5"/>
      <c r="M20" s="15" t="str">
        <f aca="false">IF($A20="","",$C20*(1-$G20))</f>
        <v/>
      </c>
      <c r="N20" s="16" t="str">
        <f aca="false">IF($A20="","",IF($F20="",پارامترها!$B$15,$F20))</f>
        <v/>
      </c>
      <c r="O20" s="7" t="str">
        <f aca="false">IF($A20="","",$B20*$C20*پارامترها!$B$6)</f>
        <v/>
      </c>
      <c r="P20" s="7" t="str">
        <f aca="false">IF($A20="","",$D20*پارامترها!$B$13*پارامترها!$B$6)</f>
        <v/>
      </c>
      <c r="Q20" s="7" t="str">
        <f aca="false">IF($A20="","",$O20*پارامترها!$B$14)</f>
        <v/>
      </c>
      <c r="R20" s="7" t="str">
        <f aca="false">IF($A20="","",$O20+$P20+$Q20)</f>
        <v/>
      </c>
      <c r="S20" s="7" t="str">
        <f aca="false">IF($A20="","",IF($E20&gt;0,$E20*$C20*پارامترها!$B$6,$R20*(1+پارامترها!$B$23)))</f>
        <v/>
      </c>
      <c r="T20" s="7" t="str">
        <f aca="false">IF($A20="","",$S20*$N20)</f>
        <v/>
      </c>
      <c r="U20" s="7" t="str">
        <f aca="false">IF($A20="","",$D20*پارامترها!$B$16)</f>
        <v/>
      </c>
      <c r="V20" s="7" t="str">
        <f aca="false">IF($A20="","",پارامترها!$B$19*IF(پارامترها!$B$20="وزن",IF(SUM($D$5:$D$29)=0,0,$D20/SUM($D$5:$D$29)),IF(SUMPRODUCT($B$5:$B$29,$C$5:$C$29)=0,0,$B20*$C20/SUMPRODUCT($B$5:$B$29,$C$5:$C$29))))</f>
        <v/>
      </c>
      <c r="W20" s="7" t="str">
        <f aca="false">IF($A20="","",$H20*$C20)</f>
        <v/>
      </c>
      <c r="X20" s="7" t="str">
        <f aca="false">IF($A20="","",($S20+$T20)*پارامترها!$B$21)</f>
        <v/>
      </c>
      <c r="Y20" s="7" t="str">
        <f aca="false">IF($A20="","",$R20+$T20+$U20+$V20+$W20+IF(پارامترها!$B$22="بله",$X20,0))</f>
        <v/>
      </c>
      <c r="Z20" s="7" t="str">
        <f aca="false">IF($A20="","",IF($C20=0,0,$Y20/$C20))</f>
        <v/>
      </c>
      <c r="AA20" s="7" t="str">
        <f aca="false">IF($A20="","",$J20/(1+پارامترها!$B$21))</f>
        <v/>
      </c>
      <c r="AB20" s="7" t="str">
        <f aca="false">IF($A20="","",$AA20*$K20)</f>
        <v/>
      </c>
      <c r="AC20" s="7" t="str">
        <f aca="false">IF($A20="","",$AA20*$M20)</f>
        <v/>
      </c>
      <c r="AD20" s="7" t="str">
        <f aca="false">IF($A20="","",($AA20-$AB20)*$M20)</f>
        <v/>
      </c>
      <c r="AE20" s="7" t="str">
        <f aca="false">IF($A20="","",$AD20-$Y20)</f>
        <v/>
      </c>
      <c r="AF20" s="7" t="str">
        <f aca="false">IF($A20="","",IF($C20=0,0,$AE20/$C20))</f>
        <v/>
      </c>
      <c r="AG20" s="16" t="str">
        <f aca="false">IF($A20="","",IF($AC20=0,0,$AE20/$AC20))</f>
        <v/>
      </c>
      <c r="AH20" s="7" t="str">
        <f aca="false">IF($A20="","",IF(OR($K20&gt;=1,$M20=0),0,$Y20/((1-$K20)*$M20)*(1+پارامترها!$B$21)))</f>
        <v/>
      </c>
      <c r="AI20" s="7" t="str">
        <f aca="false">IF($A20="","",IF(OR((1-$K20-پارامترها!$B$24)&lt;=0,$M20=0),0,$Y20/($M20*(1-$K20-پارامترها!$B$24))*(1+پارامترها!$B$21)))</f>
        <v/>
      </c>
      <c r="AJ20" s="7" t="str">
        <f aca="false">IF($A20="","",IF($AP20=0,0,($AD20-$AQ20)/$AP20))</f>
        <v/>
      </c>
      <c r="AK20" s="16" t="str">
        <f aca="false">IF($A20="","",IF(پارامترها!$B$6=0,0,($AJ20-پارامترها!$B$6)/پارامترها!$B$6))</f>
        <v/>
      </c>
      <c r="AL20" s="16" t="str">
        <f aca="false">IF($A20="","",IF(OR($Y20=0,$L20=0),0,$AE20/$Y20*365/$L20))</f>
        <v/>
      </c>
      <c r="AM20" s="16" t="str">
        <f aca="false">IF($A20="","",IF($I20=0,0,($J20-$I20)/$I20))</f>
        <v/>
      </c>
      <c r="AN20" s="17" t="str">
        <f aca="false">IF($A20="","",$B20*$C20*(1+پارامترها!$B$14)+$D20*پارامترها!$B$13)</f>
        <v/>
      </c>
      <c r="AO20" s="17" t="str">
        <f aca="false">IF($A20="","",IF($E20&gt;0,$E20*$C20,$AN20*(1+پارامترها!$B$23)))</f>
        <v/>
      </c>
      <c r="AP20" s="7" t="str">
        <f aca="false">IF($A20="","",$AN20+$AO20*$N20+IF(پارامترها!$B$22="بله",$AO20*(1+$N20)*پارامترها!$B$21,0))</f>
        <v/>
      </c>
      <c r="AQ20" s="7" t="str">
        <f aca="false">IF($A20="","",$U20+$V20+$W20)</f>
        <v/>
      </c>
    </row>
    <row r="21" customFormat="false" ht="15" hidden="false" customHeight="false" outlineLevel="0" collapsed="false">
      <c r="A21" s="8"/>
      <c r="B21" s="9"/>
      <c r="C21" s="5"/>
      <c r="D21" s="14"/>
      <c r="E21" s="9"/>
      <c r="F21" s="10"/>
      <c r="G21" s="10"/>
      <c r="H21" s="5"/>
      <c r="I21" s="5"/>
      <c r="J21" s="5"/>
      <c r="K21" s="10"/>
      <c r="L21" s="5"/>
      <c r="M21" s="15" t="str">
        <f aca="false">IF($A21="","",$C21*(1-$G21))</f>
        <v/>
      </c>
      <c r="N21" s="16" t="str">
        <f aca="false">IF($A21="","",IF($F21="",پارامترها!$B$15,$F21))</f>
        <v/>
      </c>
      <c r="O21" s="7" t="str">
        <f aca="false">IF($A21="","",$B21*$C21*پارامترها!$B$6)</f>
        <v/>
      </c>
      <c r="P21" s="7" t="str">
        <f aca="false">IF($A21="","",$D21*پارامترها!$B$13*پارامترها!$B$6)</f>
        <v/>
      </c>
      <c r="Q21" s="7" t="str">
        <f aca="false">IF($A21="","",$O21*پارامترها!$B$14)</f>
        <v/>
      </c>
      <c r="R21" s="7" t="str">
        <f aca="false">IF($A21="","",$O21+$P21+$Q21)</f>
        <v/>
      </c>
      <c r="S21" s="7" t="str">
        <f aca="false">IF($A21="","",IF($E21&gt;0,$E21*$C21*پارامترها!$B$6,$R21*(1+پارامترها!$B$23)))</f>
        <v/>
      </c>
      <c r="T21" s="7" t="str">
        <f aca="false">IF($A21="","",$S21*$N21)</f>
        <v/>
      </c>
      <c r="U21" s="7" t="str">
        <f aca="false">IF($A21="","",$D21*پارامترها!$B$16)</f>
        <v/>
      </c>
      <c r="V21" s="7" t="str">
        <f aca="false">IF($A21="","",پارامترها!$B$19*IF(پارامترها!$B$20="وزن",IF(SUM($D$5:$D$29)=0,0,$D21/SUM($D$5:$D$29)),IF(SUMPRODUCT($B$5:$B$29,$C$5:$C$29)=0,0,$B21*$C21/SUMPRODUCT($B$5:$B$29,$C$5:$C$29))))</f>
        <v/>
      </c>
      <c r="W21" s="7" t="str">
        <f aca="false">IF($A21="","",$H21*$C21)</f>
        <v/>
      </c>
      <c r="X21" s="7" t="str">
        <f aca="false">IF($A21="","",($S21+$T21)*پارامترها!$B$21)</f>
        <v/>
      </c>
      <c r="Y21" s="7" t="str">
        <f aca="false">IF($A21="","",$R21+$T21+$U21+$V21+$W21+IF(پارامترها!$B$22="بله",$X21,0))</f>
        <v/>
      </c>
      <c r="Z21" s="7" t="str">
        <f aca="false">IF($A21="","",IF($C21=0,0,$Y21/$C21))</f>
        <v/>
      </c>
      <c r="AA21" s="7" t="str">
        <f aca="false">IF($A21="","",$J21/(1+پارامترها!$B$21))</f>
        <v/>
      </c>
      <c r="AB21" s="7" t="str">
        <f aca="false">IF($A21="","",$AA21*$K21)</f>
        <v/>
      </c>
      <c r="AC21" s="7" t="str">
        <f aca="false">IF($A21="","",$AA21*$M21)</f>
        <v/>
      </c>
      <c r="AD21" s="7" t="str">
        <f aca="false">IF($A21="","",($AA21-$AB21)*$M21)</f>
        <v/>
      </c>
      <c r="AE21" s="7" t="str">
        <f aca="false">IF($A21="","",$AD21-$Y21)</f>
        <v/>
      </c>
      <c r="AF21" s="7" t="str">
        <f aca="false">IF($A21="","",IF($C21=0,0,$AE21/$C21))</f>
        <v/>
      </c>
      <c r="AG21" s="16" t="str">
        <f aca="false">IF($A21="","",IF($AC21=0,0,$AE21/$AC21))</f>
        <v/>
      </c>
      <c r="AH21" s="7" t="str">
        <f aca="false">IF($A21="","",IF(OR($K21&gt;=1,$M21=0),0,$Y21/((1-$K21)*$M21)*(1+پارامترها!$B$21)))</f>
        <v/>
      </c>
      <c r="AI21" s="7" t="str">
        <f aca="false">IF($A21="","",IF(OR((1-$K21-پارامترها!$B$24)&lt;=0,$M21=0),0,$Y21/($M21*(1-$K21-پارامترها!$B$24))*(1+پارامترها!$B$21)))</f>
        <v/>
      </c>
      <c r="AJ21" s="7" t="str">
        <f aca="false">IF($A21="","",IF($AP21=0,0,($AD21-$AQ21)/$AP21))</f>
        <v/>
      </c>
      <c r="AK21" s="16" t="str">
        <f aca="false">IF($A21="","",IF(پارامترها!$B$6=0,0,($AJ21-پارامترها!$B$6)/پارامترها!$B$6))</f>
        <v/>
      </c>
      <c r="AL21" s="16" t="str">
        <f aca="false">IF($A21="","",IF(OR($Y21=0,$L21=0),0,$AE21/$Y21*365/$L21))</f>
        <v/>
      </c>
      <c r="AM21" s="16" t="str">
        <f aca="false">IF($A21="","",IF($I21=0,0,($J21-$I21)/$I21))</f>
        <v/>
      </c>
      <c r="AN21" s="17" t="str">
        <f aca="false">IF($A21="","",$B21*$C21*(1+پارامترها!$B$14)+$D21*پارامترها!$B$13)</f>
        <v/>
      </c>
      <c r="AO21" s="17" t="str">
        <f aca="false">IF($A21="","",IF($E21&gt;0,$E21*$C21,$AN21*(1+پارامترها!$B$23)))</f>
        <v/>
      </c>
      <c r="AP21" s="7" t="str">
        <f aca="false">IF($A21="","",$AN21+$AO21*$N21+IF(پارامترها!$B$22="بله",$AO21*(1+$N21)*پارامترها!$B$21,0))</f>
        <v/>
      </c>
      <c r="AQ21" s="7" t="str">
        <f aca="false">IF($A21="","",$U21+$V21+$W21)</f>
        <v/>
      </c>
    </row>
    <row r="22" customFormat="false" ht="15" hidden="false" customHeight="false" outlineLevel="0" collapsed="false">
      <c r="A22" s="8"/>
      <c r="B22" s="9"/>
      <c r="C22" s="5"/>
      <c r="D22" s="14"/>
      <c r="E22" s="9"/>
      <c r="F22" s="10"/>
      <c r="G22" s="10"/>
      <c r="H22" s="5"/>
      <c r="I22" s="5"/>
      <c r="J22" s="5"/>
      <c r="K22" s="10"/>
      <c r="L22" s="5"/>
      <c r="M22" s="15" t="str">
        <f aca="false">IF($A22="","",$C22*(1-$G22))</f>
        <v/>
      </c>
      <c r="N22" s="16" t="str">
        <f aca="false">IF($A22="","",IF($F22="",پارامترها!$B$15,$F22))</f>
        <v/>
      </c>
      <c r="O22" s="7" t="str">
        <f aca="false">IF($A22="","",$B22*$C22*پارامترها!$B$6)</f>
        <v/>
      </c>
      <c r="P22" s="7" t="str">
        <f aca="false">IF($A22="","",$D22*پارامترها!$B$13*پارامترها!$B$6)</f>
        <v/>
      </c>
      <c r="Q22" s="7" t="str">
        <f aca="false">IF($A22="","",$O22*پارامترها!$B$14)</f>
        <v/>
      </c>
      <c r="R22" s="7" t="str">
        <f aca="false">IF($A22="","",$O22+$P22+$Q22)</f>
        <v/>
      </c>
      <c r="S22" s="7" t="str">
        <f aca="false">IF($A22="","",IF($E22&gt;0,$E22*$C22*پارامترها!$B$6,$R22*(1+پارامترها!$B$23)))</f>
        <v/>
      </c>
      <c r="T22" s="7" t="str">
        <f aca="false">IF($A22="","",$S22*$N22)</f>
        <v/>
      </c>
      <c r="U22" s="7" t="str">
        <f aca="false">IF($A22="","",$D22*پارامترها!$B$16)</f>
        <v/>
      </c>
      <c r="V22" s="7" t="str">
        <f aca="false">IF($A22="","",پارامترها!$B$19*IF(پارامترها!$B$20="وزن",IF(SUM($D$5:$D$29)=0,0,$D22/SUM($D$5:$D$29)),IF(SUMPRODUCT($B$5:$B$29,$C$5:$C$29)=0,0,$B22*$C22/SUMPRODUCT($B$5:$B$29,$C$5:$C$29))))</f>
        <v/>
      </c>
      <c r="W22" s="7" t="str">
        <f aca="false">IF($A22="","",$H22*$C22)</f>
        <v/>
      </c>
      <c r="X22" s="7" t="str">
        <f aca="false">IF($A22="","",($S22+$T22)*پارامترها!$B$21)</f>
        <v/>
      </c>
      <c r="Y22" s="7" t="str">
        <f aca="false">IF($A22="","",$R22+$T22+$U22+$V22+$W22+IF(پارامترها!$B$22="بله",$X22,0))</f>
        <v/>
      </c>
      <c r="Z22" s="7" t="str">
        <f aca="false">IF($A22="","",IF($C22=0,0,$Y22/$C22))</f>
        <v/>
      </c>
      <c r="AA22" s="7" t="str">
        <f aca="false">IF($A22="","",$J22/(1+پارامترها!$B$21))</f>
        <v/>
      </c>
      <c r="AB22" s="7" t="str">
        <f aca="false">IF($A22="","",$AA22*$K22)</f>
        <v/>
      </c>
      <c r="AC22" s="7" t="str">
        <f aca="false">IF($A22="","",$AA22*$M22)</f>
        <v/>
      </c>
      <c r="AD22" s="7" t="str">
        <f aca="false">IF($A22="","",($AA22-$AB22)*$M22)</f>
        <v/>
      </c>
      <c r="AE22" s="7" t="str">
        <f aca="false">IF($A22="","",$AD22-$Y22)</f>
        <v/>
      </c>
      <c r="AF22" s="7" t="str">
        <f aca="false">IF($A22="","",IF($C22=0,0,$AE22/$C22))</f>
        <v/>
      </c>
      <c r="AG22" s="16" t="str">
        <f aca="false">IF($A22="","",IF($AC22=0,0,$AE22/$AC22))</f>
        <v/>
      </c>
      <c r="AH22" s="7" t="str">
        <f aca="false">IF($A22="","",IF(OR($K22&gt;=1,$M22=0),0,$Y22/((1-$K22)*$M22)*(1+پارامترها!$B$21)))</f>
        <v/>
      </c>
      <c r="AI22" s="7" t="str">
        <f aca="false">IF($A22="","",IF(OR((1-$K22-پارامترها!$B$24)&lt;=0,$M22=0),0,$Y22/($M22*(1-$K22-پارامترها!$B$24))*(1+پارامترها!$B$21)))</f>
        <v/>
      </c>
      <c r="AJ22" s="7" t="str">
        <f aca="false">IF($A22="","",IF($AP22=0,0,($AD22-$AQ22)/$AP22))</f>
        <v/>
      </c>
      <c r="AK22" s="16" t="str">
        <f aca="false">IF($A22="","",IF(پارامترها!$B$6=0,0,($AJ22-پارامترها!$B$6)/پارامترها!$B$6))</f>
        <v/>
      </c>
      <c r="AL22" s="16" t="str">
        <f aca="false">IF($A22="","",IF(OR($Y22=0,$L22=0),0,$AE22/$Y22*365/$L22))</f>
        <v/>
      </c>
      <c r="AM22" s="16" t="str">
        <f aca="false">IF($A22="","",IF($I22=0,0,($J22-$I22)/$I22))</f>
        <v/>
      </c>
      <c r="AN22" s="17" t="str">
        <f aca="false">IF($A22="","",$B22*$C22*(1+پارامترها!$B$14)+$D22*پارامترها!$B$13)</f>
        <v/>
      </c>
      <c r="AO22" s="17" t="str">
        <f aca="false">IF($A22="","",IF($E22&gt;0,$E22*$C22,$AN22*(1+پارامترها!$B$23)))</f>
        <v/>
      </c>
      <c r="AP22" s="7" t="str">
        <f aca="false">IF($A22="","",$AN22+$AO22*$N22+IF(پارامترها!$B$22="بله",$AO22*(1+$N22)*پارامترها!$B$21,0))</f>
        <v/>
      </c>
      <c r="AQ22" s="7" t="str">
        <f aca="false">IF($A22="","",$U22+$V22+$W22)</f>
        <v/>
      </c>
    </row>
    <row r="23" customFormat="false" ht="15" hidden="false" customHeight="false" outlineLevel="0" collapsed="false">
      <c r="A23" s="8"/>
      <c r="B23" s="9"/>
      <c r="C23" s="5"/>
      <c r="D23" s="14"/>
      <c r="E23" s="9"/>
      <c r="F23" s="10"/>
      <c r="G23" s="10"/>
      <c r="H23" s="5"/>
      <c r="I23" s="5"/>
      <c r="J23" s="5"/>
      <c r="K23" s="10"/>
      <c r="L23" s="5"/>
      <c r="M23" s="15" t="str">
        <f aca="false">IF($A23="","",$C23*(1-$G23))</f>
        <v/>
      </c>
      <c r="N23" s="16" t="str">
        <f aca="false">IF($A23="","",IF($F23="",پارامترها!$B$15,$F23))</f>
        <v/>
      </c>
      <c r="O23" s="7" t="str">
        <f aca="false">IF($A23="","",$B23*$C23*پارامترها!$B$6)</f>
        <v/>
      </c>
      <c r="P23" s="7" t="str">
        <f aca="false">IF($A23="","",$D23*پارامترها!$B$13*پارامترها!$B$6)</f>
        <v/>
      </c>
      <c r="Q23" s="7" t="str">
        <f aca="false">IF($A23="","",$O23*پارامترها!$B$14)</f>
        <v/>
      </c>
      <c r="R23" s="7" t="str">
        <f aca="false">IF($A23="","",$O23+$P23+$Q23)</f>
        <v/>
      </c>
      <c r="S23" s="7" t="str">
        <f aca="false">IF($A23="","",IF($E23&gt;0,$E23*$C23*پارامترها!$B$6,$R23*(1+پارامترها!$B$23)))</f>
        <v/>
      </c>
      <c r="T23" s="7" t="str">
        <f aca="false">IF($A23="","",$S23*$N23)</f>
        <v/>
      </c>
      <c r="U23" s="7" t="str">
        <f aca="false">IF($A23="","",$D23*پارامترها!$B$16)</f>
        <v/>
      </c>
      <c r="V23" s="7" t="str">
        <f aca="false">IF($A23="","",پارامترها!$B$19*IF(پارامترها!$B$20="وزن",IF(SUM($D$5:$D$29)=0,0,$D23/SUM($D$5:$D$29)),IF(SUMPRODUCT($B$5:$B$29,$C$5:$C$29)=0,0,$B23*$C23/SUMPRODUCT($B$5:$B$29,$C$5:$C$29))))</f>
        <v/>
      </c>
      <c r="W23" s="7" t="str">
        <f aca="false">IF($A23="","",$H23*$C23)</f>
        <v/>
      </c>
      <c r="X23" s="7" t="str">
        <f aca="false">IF($A23="","",($S23+$T23)*پارامترها!$B$21)</f>
        <v/>
      </c>
      <c r="Y23" s="7" t="str">
        <f aca="false">IF($A23="","",$R23+$T23+$U23+$V23+$W23+IF(پارامترها!$B$22="بله",$X23,0))</f>
        <v/>
      </c>
      <c r="Z23" s="7" t="str">
        <f aca="false">IF($A23="","",IF($C23=0,0,$Y23/$C23))</f>
        <v/>
      </c>
      <c r="AA23" s="7" t="str">
        <f aca="false">IF($A23="","",$J23/(1+پارامترها!$B$21))</f>
        <v/>
      </c>
      <c r="AB23" s="7" t="str">
        <f aca="false">IF($A23="","",$AA23*$K23)</f>
        <v/>
      </c>
      <c r="AC23" s="7" t="str">
        <f aca="false">IF($A23="","",$AA23*$M23)</f>
        <v/>
      </c>
      <c r="AD23" s="7" t="str">
        <f aca="false">IF($A23="","",($AA23-$AB23)*$M23)</f>
        <v/>
      </c>
      <c r="AE23" s="7" t="str">
        <f aca="false">IF($A23="","",$AD23-$Y23)</f>
        <v/>
      </c>
      <c r="AF23" s="7" t="str">
        <f aca="false">IF($A23="","",IF($C23=0,0,$AE23/$C23))</f>
        <v/>
      </c>
      <c r="AG23" s="16" t="str">
        <f aca="false">IF($A23="","",IF($AC23=0,0,$AE23/$AC23))</f>
        <v/>
      </c>
      <c r="AH23" s="7" t="str">
        <f aca="false">IF($A23="","",IF(OR($K23&gt;=1,$M23=0),0,$Y23/((1-$K23)*$M23)*(1+پارامترها!$B$21)))</f>
        <v/>
      </c>
      <c r="AI23" s="7" t="str">
        <f aca="false">IF($A23="","",IF(OR((1-$K23-پارامترها!$B$24)&lt;=0,$M23=0),0,$Y23/($M23*(1-$K23-پارامترها!$B$24))*(1+پارامترها!$B$21)))</f>
        <v/>
      </c>
      <c r="AJ23" s="7" t="str">
        <f aca="false">IF($A23="","",IF($AP23=0,0,($AD23-$AQ23)/$AP23))</f>
        <v/>
      </c>
      <c r="AK23" s="16" t="str">
        <f aca="false">IF($A23="","",IF(پارامترها!$B$6=0,0,($AJ23-پارامترها!$B$6)/پارامترها!$B$6))</f>
        <v/>
      </c>
      <c r="AL23" s="16" t="str">
        <f aca="false">IF($A23="","",IF(OR($Y23=0,$L23=0),0,$AE23/$Y23*365/$L23))</f>
        <v/>
      </c>
      <c r="AM23" s="16" t="str">
        <f aca="false">IF($A23="","",IF($I23=0,0,($J23-$I23)/$I23))</f>
        <v/>
      </c>
      <c r="AN23" s="17" t="str">
        <f aca="false">IF($A23="","",$B23*$C23*(1+پارامترها!$B$14)+$D23*پارامترها!$B$13)</f>
        <v/>
      </c>
      <c r="AO23" s="17" t="str">
        <f aca="false">IF($A23="","",IF($E23&gt;0,$E23*$C23,$AN23*(1+پارامترها!$B$23)))</f>
        <v/>
      </c>
      <c r="AP23" s="7" t="str">
        <f aca="false">IF($A23="","",$AN23+$AO23*$N23+IF(پارامترها!$B$22="بله",$AO23*(1+$N23)*پارامترها!$B$21,0))</f>
        <v/>
      </c>
      <c r="AQ23" s="7" t="str">
        <f aca="false">IF($A23="","",$U23+$V23+$W23)</f>
        <v/>
      </c>
    </row>
    <row r="24" customFormat="false" ht="15" hidden="false" customHeight="false" outlineLevel="0" collapsed="false">
      <c r="A24" s="8"/>
      <c r="B24" s="9"/>
      <c r="C24" s="5"/>
      <c r="D24" s="14"/>
      <c r="E24" s="9"/>
      <c r="F24" s="10"/>
      <c r="G24" s="10"/>
      <c r="H24" s="5"/>
      <c r="I24" s="5"/>
      <c r="J24" s="5"/>
      <c r="K24" s="10"/>
      <c r="L24" s="5"/>
      <c r="M24" s="15" t="str">
        <f aca="false">IF($A24="","",$C24*(1-$G24))</f>
        <v/>
      </c>
      <c r="N24" s="16" t="str">
        <f aca="false">IF($A24="","",IF($F24="",پارامترها!$B$15,$F24))</f>
        <v/>
      </c>
      <c r="O24" s="7" t="str">
        <f aca="false">IF($A24="","",$B24*$C24*پارامترها!$B$6)</f>
        <v/>
      </c>
      <c r="P24" s="7" t="str">
        <f aca="false">IF($A24="","",$D24*پارامترها!$B$13*پارامترها!$B$6)</f>
        <v/>
      </c>
      <c r="Q24" s="7" t="str">
        <f aca="false">IF($A24="","",$O24*پارامترها!$B$14)</f>
        <v/>
      </c>
      <c r="R24" s="7" t="str">
        <f aca="false">IF($A24="","",$O24+$P24+$Q24)</f>
        <v/>
      </c>
      <c r="S24" s="7" t="str">
        <f aca="false">IF($A24="","",IF($E24&gt;0,$E24*$C24*پارامترها!$B$6,$R24*(1+پارامترها!$B$23)))</f>
        <v/>
      </c>
      <c r="T24" s="7" t="str">
        <f aca="false">IF($A24="","",$S24*$N24)</f>
        <v/>
      </c>
      <c r="U24" s="7" t="str">
        <f aca="false">IF($A24="","",$D24*پارامترها!$B$16)</f>
        <v/>
      </c>
      <c r="V24" s="7" t="str">
        <f aca="false">IF($A24="","",پارامترها!$B$19*IF(پارامترها!$B$20="وزن",IF(SUM($D$5:$D$29)=0,0,$D24/SUM($D$5:$D$29)),IF(SUMPRODUCT($B$5:$B$29,$C$5:$C$29)=0,0,$B24*$C24/SUMPRODUCT($B$5:$B$29,$C$5:$C$29))))</f>
        <v/>
      </c>
      <c r="W24" s="7" t="str">
        <f aca="false">IF($A24="","",$H24*$C24)</f>
        <v/>
      </c>
      <c r="X24" s="7" t="str">
        <f aca="false">IF($A24="","",($S24+$T24)*پارامترها!$B$21)</f>
        <v/>
      </c>
      <c r="Y24" s="7" t="str">
        <f aca="false">IF($A24="","",$R24+$T24+$U24+$V24+$W24+IF(پارامترها!$B$22="بله",$X24,0))</f>
        <v/>
      </c>
      <c r="Z24" s="7" t="str">
        <f aca="false">IF($A24="","",IF($C24=0,0,$Y24/$C24))</f>
        <v/>
      </c>
      <c r="AA24" s="7" t="str">
        <f aca="false">IF($A24="","",$J24/(1+پارامترها!$B$21))</f>
        <v/>
      </c>
      <c r="AB24" s="7" t="str">
        <f aca="false">IF($A24="","",$AA24*$K24)</f>
        <v/>
      </c>
      <c r="AC24" s="7" t="str">
        <f aca="false">IF($A24="","",$AA24*$M24)</f>
        <v/>
      </c>
      <c r="AD24" s="7" t="str">
        <f aca="false">IF($A24="","",($AA24-$AB24)*$M24)</f>
        <v/>
      </c>
      <c r="AE24" s="7" t="str">
        <f aca="false">IF($A24="","",$AD24-$Y24)</f>
        <v/>
      </c>
      <c r="AF24" s="7" t="str">
        <f aca="false">IF($A24="","",IF($C24=0,0,$AE24/$C24))</f>
        <v/>
      </c>
      <c r="AG24" s="16" t="str">
        <f aca="false">IF($A24="","",IF($AC24=0,0,$AE24/$AC24))</f>
        <v/>
      </c>
      <c r="AH24" s="7" t="str">
        <f aca="false">IF($A24="","",IF(OR($K24&gt;=1,$M24=0),0,$Y24/((1-$K24)*$M24)*(1+پارامترها!$B$21)))</f>
        <v/>
      </c>
      <c r="AI24" s="7" t="str">
        <f aca="false">IF($A24="","",IF(OR((1-$K24-پارامترها!$B$24)&lt;=0,$M24=0),0,$Y24/($M24*(1-$K24-پارامترها!$B$24))*(1+پارامترها!$B$21)))</f>
        <v/>
      </c>
      <c r="AJ24" s="7" t="str">
        <f aca="false">IF($A24="","",IF($AP24=0,0,($AD24-$AQ24)/$AP24))</f>
        <v/>
      </c>
      <c r="AK24" s="16" t="str">
        <f aca="false">IF($A24="","",IF(پارامترها!$B$6=0,0,($AJ24-پارامترها!$B$6)/پارامترها!$B$6))</f>
        <v/>
      </c>
      <c r="AL24" s="16" t="str">
        <f aca="false">IF($A24="","",IF(OR($Y24=0,$L24=0),0,$AE24/$Y24*365/$L24))</f>
        <v/>
      </c>
      <c r="AM24" s="16" t="str">
        <f aca="false">IF($A24="","",IF($I24=0,0,($J24-$I24)/$I24))</f>
        <v/>
      </c>
      <c r="AN24" s="17" t="str">
        <f aca="false">IF($A24="","",$B24*$C24*(1+پارامترها!$B$14)+$D24*پارامترها!$B$13)</f>
        <v/>
      </c>
      <c r="AO24" s="17" t="str">
        <f aca="false">IF($A24="","",IF($E24&gt;0,$E24*$C24,$AN24*(1+پارامترها!$B$23)))</f>
        <v/>
      </c>
      <c r="AP24" s="7" t="str">
        <f aca="false">IF($A24="","",$AN24+$AO24*$N24+IF(پارامترها!$B$22="بله",$AO24*(1+$N24)*پارامترها!$B$21,0))</f>
        <v/>
      </c>
      <c r="AQ24" s="7" t="str">
        <f aca="false">IF($A24="","",$U24+$V24+$W24)</f>
        <v/>
      </c>
    </row>
    <row r="25" customFormat="false" ht="15" hidden="false" customHeight="false" outlineLevel="0" collapsed="false">
      <c r="A25" s="8"/>
      <c r="B25" s="9"/>
      <c r="C25" s="5"/>
      <c r="D25" s="14"/>
      <c r="E25" s="9"/>
      <c r="F25" s="10"/>
      <c r="G25" s="10"/>
      <c r="H25" s="5"/>
      <c r="I25" s="5"/>
      <c r="J25" s="5"/>
      <c r="K25" s="10"/>
      <c r="L25" s="5"/>
      <c r="M25" s="15" t="str">
        <f aca="false">IF($A25="","",$C25*(1-$G25))</f>
        <v/>
      </c>
      <c r="N25" s="16" t="str">
        <f aca="false">IF($A25="","",IF($F25="",پارامترها!$B$15,$F25))</f>
        <v/>
      </c>
      <c r="O25" s="7" t="str">
        <f aca="false">IF($A25="","",$B25*$C25*پارامترها!$B$6)</f>
        <v/>
      </c>
      <c r="P25" s="7" t="str">
        <f aca="false">IF($A25="","",$D25*پارامترها!$B$13*پارامترها!$B$6)</f>
        <v/>
      </c>
      <c r="Q25" s="7" t="str">
        <f aca="false">IF($A25="","",$O25*پارامترها!$B$14)</f>
        <v/>
      </c>
      <c r="R25" s="7" t="str">
        <f aca="false">IF($A25="","",$O25+$P25+$Q25)</f>
        <v/>
      </c>
      <c r="S25" s="7" t="str">
        <f aca="false">IF($A25="","",IF($E25&gt;0,$E25*$C25*پارامترها!$B$6,$R25*(1+پارامترها!$B$23)))</f>
        <v/>
      </c>
      <c r="T25" s="7" t="str">
        <f aca="false">IF($A25="","",$S25*$N25)</f>
        <v/>
      </c>
      <c r="U25" s="7" t="str">
        <f aca="false">IF($A25="","",$D25*پارامترها!$B$16)</f>
        <v/>
      </c>
      <c r="V25" s="7" t="str">
        <f aca="false">IF($A25="","",پارامترها!$B$19*IF(پارامترها!$B$20="وزن",IF(SUM($D$5:$D$29)=0,0,$D25/SUM($D$5:$D$29)),IF(SUMPRODUCT($B$5:$B$29,$C$5:$C$29)=0,0,$B25*$C25/SUMPRODUCT($B$5:$B$29,$C$5:$C$29))))</f>
        <v/>
      </c>
      <c r="W25" s="7" t="str">
        <f aca="false">IF($A25="","",$H25*$C25)</f>
        <v/>
      </c>
      <c r="X25" s="7" t="str">
        <f aca="false">IF($A25="","",($S25+$T25)*پارامترها!$B$21)</f>
        <v/>
      </c>
      <c r="Y25" s="7" t="str">
        <f aca="false">IF($A25="","",$R25+$T25+$U25+$V25+$W25+IF(پارامترها!$B$22="بله",$X25,0))</f>
        <v/>
      </c>
      <c r="Z25" s="7" t="str">
        <f aca="false">IF($A25="","",IF($C25=0,0,$Y25/$C25))</f>
        <v/>
      </c>
      <c r="AA25" s="7" t="str">
        <f aca="false">IF($A25="","",$J25/(1+پارامترها!$B$21))</f>
        <v/>
      </c>
      <c r="AB25" s="7" t="str">
        <f aca="false">IF($A25="","",$AA25*$K25)</f>
        <v/>
      </c>
      <c r="AC25" s="7" t="str">
        <f aca="false">IF($A25="","",$AA25*$M25)</f>
        <v/>
      </c>
      <c r="AD25" s="7" t="str">
        <f aca="false">IF($A25="","",($AA25-$AB25)*$M25)</f>
        <v/>
      </c>
      <c r="AE25" s="7" t="str">
        <f aca="false">IF($A25="","",$AD25-$Y25)</f>
        <v/>
      </c>
      <c r="AF25" s="7" t="str">
        <f aca="false">IF($A25="","",IF($C25=0,0,$AE25/$C25))</f>
        <v/>
      </c>
      <c r="AG25" s="16" t="str">
        <f aca="false">IF($A25="","",IF($AC25=0,0,$AE25/$AC25))</f>
        <v/>
      </c>
      <c r="AH25" s="7" t="str">
        <f aca="false">IF($A25="","",IF(OR($K25&gt;=1,$M25=0),0,$Y25/((1-$K25)*$M25)*(1+پارامترها!$B$21)))</f>
        <v/>
      </c>
      <c r="AI25" s="7" t="str">
        <f aca="false">IF($A25="","",IF(OR((1-$K25-پارامترها!$B$24)&lt;=0,$M25=0),0,$Y25/($M25*(1-$K25-پارامترها!$B$24))*(1+پارامترها!$B$21)))</f>
        <v/>
      </c>
      <c r="AJ25" s="7" t="str">
        <f aca="false">IF($A25="","",IF($AP25=0,0,($AD25-$AQ25)/$AP25))</f>
        <v/>
      </c>
      <c r="AK25" s="16" t="str">
        <f aca="false">IF($A25="","",IF(پارامترها!$B$6=0,0,($AJ25-پارامترها!$B$6)/پارامترها!$B$6))</f>
        <v/>
      </c>
      <c r="AL25" s="16" t="str">
        <f aca="false">IF($A25="","",IF(OR($Y25=0,$L25=0),0,$AE25/$Y25*365/$L25))</f>
        <v/>
      </c>
      <c r="AM25" s="16" t="str">
        <f aca="false">IF($A25="","",IF($I25=0,0,($J25-$I25)/$I25))</f>
        <v/>
      </c>
      <c r="AN25" s="17" t="str">
        <f aca="false">IF($A25="","",$B25*$C25*(1+پارامترها!$B$14)+$D25*پارامترها!$B$13)</f>
        <v/>
      </c>
      <c r="AO25" s="17" t="str">
        <f aca="false">IF($A25="","",IF($E25&gt;0,$E25*$C25,$AN25*(1+پارامترها!$B$23)))</f>
        <v/>
      </c>
      <c r="AP25" s="7" t="str">
        <f aca="false">IF($A25="","",$AN25+$AO25*$N25+IF(پارامترها!$B$22="بله",$AO25*(1+$N25)*پارامترها!$B$21,0))</f>
        <v/>
      </c>
      <c r="AQ25" s="7" t="str">
        <f aca="false">IF($A25="","",$U25+$V25+$W25)</f>
        <v/>
      </c>
    </row>
    <row r="26" customFormat="false" ht="15" hidden="false" customHeight="false" outlineLevel="0" collapsed="false">
      <c r="A26" s="8"/>
      <c r="B26" s="9"/>
      <c r="C26" s="5"/>
      <c r="D26" s="14"/>
      <c r="E26" s="9"/>
      <c r="F26" s="10"/>
      <c r="G26" s="10"/>
      <c r="H26" s="5"/>
      <c r="I26" s="5"/>
      <c r="J26" s="5"/>
      <c r="K26" s="10"/>
      <c r="L26" s="5"/>
      <c r="M26" s="15" t="str">
        <f aca="false">IF($A26="","",$C26*(1-$G26))</f>
        <v/>
      </c>
      <c r="N26" s="16" t="str">
        <f aca="false">IF($A26="","",IF($F26="",پارامترها!$B$15,$F26))</f>
        <v/>
      </c>
      <c r="O26" s="7" t="str">
        <f aca="false">IF($A26="","",$B26*$C26*پارامترها!$B$6)</f>
        <v/>
      </c>
      <c r="P26" s="7" t="str">
        <f aca="false">IF($A26="","",$D26*پارامترها!$B$13*پارامترها!$B$6)</f>
        <v/>
      </c>
      <c r="Q26" s="7" t="str">
        <f aca="false">IF($A26="","",$O26*پارامترها!$B$14)</f>
        <v/>
      </c>
      <c r="R26" s="7" t="str">
        <f aca="false">IF($A26="","",$O26+$P26+$Q26)</f>
        <v/>
      </c>
      <c r="S26" s="7" t="str">
        <f aca="false">IF($A26="","",IF($E26&gt;0,$E26*$C26*پارامترها!$B$6,$R26*(1+پارامترها!$B$23)))</f>
        <v/>
      </c>
      <c r="T26" s="7" t="str">
        <f aca="false">IF($A26="","",$S26*$N26)</f>
        <v/>
      </c>
      <c r="U26" s="7" t="str">
        <f aca="false">IF($A26="","",$D26*پارامترها!$B$16)</f>
        <v/>
      </c>
      <c r="V26" s="7" t="str">
        <f aca="false">IF($A26="","",پارامترها!$B$19*IF(پارامترها!$B$20="وزن",IF(SUM($D$5:$D$29)=0,0,$D26/SUM($D$5:$D$29)),IF(SUMPRODUCT($B$5:$B$29,$C$5:$C$29)=0,0,$B26*$C26/SUMPRODUCT($B$5:$B$29,$C$5:$C$29))))</f>
        <v/>
      </c>
      <c r="W26" s="7" t="str">
        <f aca="false">IF($A26="","",$H26*$C26)</f>
        <v/>
      </c>
      <c r="X26" s="7" t="str">
        <f aca="false">IF($A26="","",($S26+$T26)*پارامترها!$B$21)</f>
        <v/>
      </c>
      <c r="Y26" s="7" t="str">
        <f aca="false">IF($A26="","",$R26+$T26+$U26+$V26+$W26+IF(پارامترها!$B$22="بله",$X26,0))</f>
        <v/>
      </c>
      <c r="Z26" s="7" t="str">
        <f aca="false">IF($A26="","",IF($C26=0,0,$Y26/$C26))</f>
        <v/>
      </c>
      <c r="AA26" s="7" t="str">
        <f aca="false">IF($A26="","",$J26/(1+پارامترها!$B$21))</f>
        <v/>
      </c>
      <c r="AB26" s="7" t="str">
        <f aca="false">IF($A26="","",$AA26*$K26)</f>
        <v/>
      </c>
      <c r="AC26" s="7" t="str">
        <f aca="false">IF($A26="","",$AA26*$M26)</f>
        <v/>
      </c>
      <c r="AD26" s="7" t="str">
        <f aca="false">IF($A26="","",($AA26-$AB26)*$M26)</f>
        <v/>
      </c>
      <c r="AE26" s="7" t="str">
        <f aca="false">IF($A26="","",$AD26-$Y26)</f>
        <v/>
      </c>
      <c r="AF26" s="7" t="str">
        <f aca="false">IF($A26="","",IF($C26=0,0,$AE26/$C26))</f>
        <v/>
      </c>
      <c r="AG26" s="16" t="str">
        <f aca="false">IF($A26="","",IF($AC26=0,0,$AE26/$AC26))</f>
        <v/>
      </c>
      <c r="AH26" s="7" t="str">
        <f aca="false">IF($A26="","",IF(OR($K26&gt;=1,$M26=0),0,$Y26/((1-$K26)*$M26)*(1+پارامترها!$B$21)))</f>
        <v/>
      </c>
      <c r="AI26" s="7" t="str">
        <f aca="false">IF($A26="","",IF(OR((1-$K26-پارامترها!$B$24)&lt;=0,$M26=0),0,$Y26/($M26*(1-$K26-پارامترها!$B$24))*(1+پارامترها!$B$21)))</f>
        <v/>
      </c>
      <c r="AJ26" s="7" t="str">
        <f aca="false">IF($A26="","",IF($AP26=0,0,($AD26-$AQ26)/$AP26))</f>
        <v/>
      </c>
      <c r="AK26" s="16" t="str">
        <f aca="false">IF($A26="","",IF(پارامترها!$B$6=0,0,($AJ26-پارامترها!$B$6)/پارامترها!$B$6))</f>
        <v/>
      </c>
      <c r="AL26" s="16" t="str">
        <f aca="false">IF($A26="","",IF(OR($Y26=0,$L26=0),0,$AE26/$Y26*365/$L26))</f>
        <v/>
      </c>
      <c r="AM26" s="16" t="str">
        <f aca="false">IF($A26="","",IF($I26=0,0,($J26-$I26)/$I26))</f>
        <v/>
      </c>
      <c r="AN26" s="17" t="str">
        <f aca="false">IF($A26="","",$B26*$C26*(1+پارامترها!$B$14)+$D26*پارامترها!$B$13)</f>
        <v/>
      </c>
      <c r="AO26" s="17" t="str">
        <f aca="false">IF($A26="","",IF($E26&gt;0,$E26*$C26,$AN26*(1+پارامترها!$B$23)))</f>
        <v/>
      </c>
      <c r="AP26" s="7" t="str">
        <f aca="false">IF($A26="","",$AN26+$AO26*$N26+IF(پارامترها!$B$22="بله",$AO26*(1+$N26)*پارامترها!$B$21,0))</f>
        <v/>
      </c>
      <c r="AQ26" s="7" t="str">
        <f aca="false">IF($A26="","",$U26+$V26+$W26)</f>
        <v/>
      </c>
    </row>
    <row r="27" customFormat="false" ht="15" hidden="false" customHeight="false" outlineLevel="0" collapsed="false">
      <c r="A27" s="8"/>
      <c r="B27" s="9"/>
      <c r="C27" s="5"/>
      <c r="D27" s="14"/>
      <c r="E27" s="9"/>
      <c r="F27" s="10"/>
      <c r="G27" s="10"/>
      <c r="H27" s="5"/>
      <c r="I27" s="5"/>
      <c r="J27" s="5"/>
      <c r="K27" s="10"/>
      <c r="L27" s="5"/>
      <c r="M27" s="15" t="str">
        <f aca="false">IF($A27="","",$C27*(1-$G27))</f>
        <v/>
      </c>
      <c r="N27" s="16" t="str">
        <f aca="false">IF($A27="","",IF($F27="",پارامترها!$B$15,$F27))</f>
        <v/>
      </c>
      <c r="O27" s="7" t="str">
        <f aca="false">IF($A27="","",$B27*$C27*پارامترها!$B$6)</f>
        <v/>
      </c>
      <c r="P27" s="7" t="str">
        <f aca="false">IF($A27="","",$D27*پارامترها!$B$13*پارامترها!$B$6)</f>
        <v/>
      </c>
      <c r="Q27" s="7" t="str">
        <f aca="false">IF($A27="","",$O27*پارامترها!$B$14)</f>
        <v/>
      </c>
      <c r="R27" s="7" t="str">
        <f aca="false">IF($A27="","",$O27+$P27+$Q27)</f>
        <v/>
      </c>
      <c r="S27" s="7" t="str">
        <f aca="false">IF($A27="","",IF($E27&gt;0,$E27*$C27*پارامترها!$B$6,$R27*(1+پارامترها!$B$23)))</f>
        <v/>
      </c>
      <c r="T27" s="7" t="str">
        <f aca="false">IF($A27="","",$S27*$N27)</f>
        <v/>
      </c>
      <c r="U27" s="7" t="str">
        <f aca="false">IF($A27="","",$D27*پارامترها!$B$16)</f>
        <v/>
      </c>
      <c r="V27" s="7" t="str">
        <f aca="false">IF($A27="","",پارامترها!$B$19*IF(پارامترها!$B$20="وزن",IF(SUM($D$5:$D$29)=0,0,$D27/SUM($D$5:$D$29)),IF(SUMPRODUCT($B$5:$B$29,$C$5:$C$29)=0,0,$B27*$C27/SUMPRODUCT($B$5:$B$29,$C$5:$C$29))))</f>
        <v/>
      </c>
      <c r="W27" s="7" t="str">
        <f aca="false">IF($A27="","",$H27*$C27)</f>
        <v/>
      </c>
      <c r="X27" s="7" t="str">
        <f aca="false">IF($A27="","",($S27+$T27)*پارامترها!$B$21)</f>
        <v/>
      </c>
      <c r="Y27" s="7" t="str">
        <f aca="false">IF($A27="","",$R27+$T27+$U27+$V27+$W27+IF(پارامترها!$B$22="بله",$X27,0))</f>
        <v/>
      </c>
      <c r="Z27" s="7" t="str">
        <f aca="false">IF($A27="","",IF($C27=0,0,$Y27/$C27))</f>
        <v/>
      </c>
      <c r="AA27" s="7" t="str">
        <f aca="false">IF($A27="","",$J27/(1+پارامترها!$B$21))</f>
        <v/>
      </c>
      <c r="AB27" s="7" t="str">
        <f aca="false">IF($A27="","",$AA27*$K27)</f>
        <v/>
      </c>
      <c r="AC27" s="7" t="str">
        <f aca="false">IF($A27="","",$AA27*$M27)</f>
        <v/>
      </c>
      <c r="AD27" s="7" t="str">
        <f aca="false">IF($A27="","",($AA27-$AB27)*$M27)</f>
        <v/>
      </c>
      <c r="AE27" s="7" t="str">
        <f aca="false">IF($A27="","",$AD27-$Y27)</f>
        <v/>
      </c>
      <c r="AF27" s="7" t="str">
        <f aca="false">IF($A27="","",IF($C27=0,0,$AE27/$C27))</f>
        <v/>
      </c>
      <c r="AG27" s="16" t="str">
        <f aca="false">IF($A27="","",IF($AC27=0,0,$AE27/$AC27))</f>
        <v/>
      </c>
      <c r="AH27" s="7" t="str">
        <f aca="false">IF($A27="","",IF(OR($K27&gt;=1,$M27=0),0,$Y27/((1-$K27)*$M27)*(1+پارامترها!$B$21)))</f>
        <v/>
      </c>
      <c r="AI27" s="7" t="str">
        <f aca="false">IF($A27="","",IF(OR((1-$K27-پارامترها!$B$24)&lt;=0,$M27=0),0,$Y27/($M27*(1-$K27-پارامترها!$B$24))*(1+پارامترها!$B$21)))</f>
        <v/>
      </c>
      <c r="AJ27" s="7" t="str">
        <f aca="false">IF($A27="","",IF($AP27=0,0,($AD27-$AQ27)/$AP27))</f>
        <v/>
      </c>
      <c r="AK27" s="16" t="str">
        <f aca="false">IF($A27="","",IF(پارامترها!$B$6=0,0,($AJ27-پارامترها!$B$6)/پارامترها!$B$6))</f>
        <v/>
      </c>
      <c r="AL27" s="16" t="str">
        <f aca="false">IF($A27="","",IF(OR($Y27=0,$L27=0),0,$AE27/$Y27*365/$L27))</f>
        <v/>
      </c>
      <c r="AM27" s="16" t="str">
        <f aca="false">IF($A27="","",IF($I27=0,0,($J27-$I27)/$I27))</f>
        <v/>
      </c>
      <c r="AN27" s="17" t="str">
        <f aca="false">IF($A27="","",$B27*$C27*(1+پارامترها!$B$14)+$D27*پارامترها!$B$13)</f>
        <v/>
      </c>
      <c r="AO27" s="17" t="str">
        <f aca="false">IF($A27="","",IF($E27&gt;0,$E27*$C27,$AN27*(1+پارامترها!$B$23)))</f>
        <v/>
      </c>
      <c r="AP27" s="7" t="str">
        <f aca="false">IF($A27="","",$AN27+$AO27*$N27+IF(پارامترها!$B$22="بله",$AO27*(1+$N27)*پارامترها!$B$21,0))</f>
        <v/>
      </c>
      <c r="AQ27" s="7" t="str">
        <f aca="false">IF($A27="","",$U27+$V27+$W27)</f>
        <v/>
      </c>
    </row>
    <row r="28" customFormat="false" ht="15" hidden="false" customHeight="false" outlineLevel="0" collapsed="false">
      <c r="A28" s="8"/>
      <c r="B28" s="9"/>
      <c r="C28" s="5"/>
      <c r="D28" s="14"/>
      <c r="E28" s="9"/>
      <c r="F28" s="10"/>
      <c r="G28" s="10"/>
      <c r="H28" s="5"/>
      <c r="I28" s="5"/>
      <c r="J28" s="5"/>
      <c r="K28" s="10"/>
      <c r="L28" s="5"/>
      <c r="M28" s="15" t="str">
        <f aca="false">IF($A28="","",$C28*(1-$G28))</f>
        <v/>
      </c>
      <c r="N28" s="16" t="str">
        <f aca="false">IF($A28="","",IF($F28="",پارامترها!$B$15,$F28))</f>
        <v/>
      </c>
      <c r="O28" s="7" t="str">
        <f aca="false">IF($A28="","",$B28*$C28*پارامترها!$B$6)</f>
        <v/>
      </c>
      <c r="P28" s="7" t="str">
        <f aca="false">IF($A28="","",$D28*پارامترها!$B$13*پارامترها!$B$6)</f>
        <v/>
      </c>
      <c r="Q28" s="7" t="str">
        <f aca="false">IF($A28="","",$O28*پارامترها!$B$14)</f>
        <v/>
      </c>
      <c r="R28" s="7" t="str">
        <f aca="false">IF($A28="","",$O28+$P28+$Q28)</f>
        <v/>
      </c>
      <c r="S28" s="7" t="str">
        <f aca="false">IF($A28="","",IF($E28&gt;0,$E28*$C28*پارامترها!$B$6,$R28*(1+پارامترها!$B$23)))</f>
        <v/>
      </c>
      <c r="T28" s="7" t="str">
        <f aca="false">IF($A28="","",$S28*$N28)</f>
        <v/>
      </c>
      <c r="U28" s="7" t="str">
        <f aca="false">IF($A28="","",$D28*پارامترها!$B$16)</f>
        <v/>
      </c>
      <c r="V28" s="7" t="str">
        <f aca="false">IF($A28="","",پارامترها!$B$19*IF(پارامترها!$B$20="وزن",IF(SUM($D$5:$D$29)=0,0,$D28/SUM($D$5:$D$29)),IF(SUMPRODUCT($B$5:$B$29,$C$5:$C$29)=0,0,$B28*$C28/SUMPRODUCT($B$5:$B$29,$C$5:$C$29))))</f>
        <v/>
      </c>
      <c r="W28" s="7" t="str">
        <f aca="false">IF($A28="","",$H28*$C28)</f>
        <v/>
      </c>
      <c r="X28" s="7" t="str">
        <f aca="false">IF($A28="","",($S28+$T28)*پارامترها!$B$21)</f>
        <v/>
      </c>
      <c r="Y28" s="7" t="str">
        <f aca="false">IF($A28="","",$R28+$T28+$U28+$V28+$W28+IF(پارامترها!$B$22="بله",$X28,0))</f>
        <v/>
      </c>
      <c r="Z28" s="7" t="str">
        <f aca="false">IF($A28="","",IF($C28=0,0,$Y28/$C28))</f>
        <v/>
      </c>
      <c r="AA28" s="7" t="str">
        <f aca="false">IF($A28="","",$J28/(1+پارامترها!$B$21))</f>
        <v/>
      </c>
      <c r="AB28" s="7" t="str">
        <f aca="false">IF($A28="","",$AA28*$K28)</f>
        <v/>
      </c>
      <c r="AC28" s="7" t="str">
        <f aca="false">IF($A28="","",$AA28*$M28)</f>
        <v/>
      </c>
      <c r="AD28" s="7" t="str">
        <f aca="false">IF($A28="","",($AA28-$AB28)*$M28)</f>
        <v/>
      </c>
      <c r="AE28" s="7" t="str">
        <f aca="false">IF($A28="","",$AD28-$Y28)</f>
        <v/>
      </c>
      <c r="AF28" s="7" t="str">
        <f aca="false">IF($A28="","",IF($C28=0,0,$AE28/$C28))</f>
        <v/>
      </c>
      <c r="AG28" s="16" t="str">
        <f aca="false">IF($A28="","",IF($AC28=0,0,$AE28/$AC28))</f>
        <v/>
      </c>
      <c r="AH28" s="7" t="str">
        <f aca="false">IF($A28="","",IF(OR($K28&gt;=1,$M28=0),0,$Y28/((1-$K28)*$M28)*(1+پارامترها!$B$21)))</f>
        <v/>
      </c>
      <c r="AI28" s="7" t="str">
        <f aca="false">IF($A28="","",IF(OR((1-$K28-پارامترها!$B$24)&lt;=0,$M28=0),0,$Y28/($M28*(1-$K28-پارامترها!$B$24))*(1+پارامترها!$B$21)))</f>
        <v/>
      </c>
      <c r="AJ28" s="7" t="str">
        <f aca="false">IF($A28="","",IF($AP28=0,0,($AD28-$AQ28)/$AP28))</f>
        <v/>
      </c>
      <c r="AK28" s="16" t="str">
        <f aca="false">IF($A28="","",IF(پارامترها!$B$6=0,0,($AJ28-پارامترها!$B$6)/پارامترها!$B$6))</f>
        <v/>
      </c>
      <c r="AL28" s="16" t="str">
        <f aca="false">IF($A28="","",IF(OR($Y28=0,$L28=0),0,$AE28/$Y28*365/$L28))</f>
        <v/>
      </c>
      <c r="AM28" s="16" t="str">
        <f aca="false">IF($A28="","",IF($I28=0,0,($J28-$I28)/$I28))</f>
        <v/>
      </c>
      <c r="AN28" s="17" t="str">
        <f aca="false">IF($A28="","",$B28*$C28*(1+پارامترها!$B$14)+$D28*پارامترها!$B$13)</f>
        <v/>
      </c>
      <c r="AO28" s="17" t="str">
        <f aca="false">IF($A28="","",IF($E28&gt;0,$E28*$C28,$AN28*(1+پارامترها!$B$23)))</f>
        <v/>
      </c>
      <c r="AP28" s="7" t="str">
        <f aca="false">IF($A28="","",$AN28+$AO28*$N28+IF(پارامترها!$B$22="بله",$AO28*(1+$N28)*پارامترها!$B$21,0))</f>
        <v/>
      </c>
      <c r="AQ28" s="7" t="str">
        <f aca="false">IF($A28="","",$U28+$V28+$W28)</f>
        <v/>
      </c>
    </row>
    <row r="29" customFormat="false" ht="15" hidden="false" customHeight="false" outlineLevel="0" collapsed="false">
      <c r="A29" s="8"/>
      <c r="B29" s="9"/>
      <c r="C29" s="5"/>
      <c r="D29" s="14"/>
      <c r="E29" s="9"/>
      <c r="F29" s="10"/>
      <c r="G29" s="10"/>
      <c r="H29" s="5"/>
      <c r="I29" s="5"/>
      <c r="J29" s="5"/>
      <c r="K29" s="10"/>
      <c r="L29" s="5"/>
      <c r="M29" s="15" t="str">
        <f aca="false">IF($A29="","",$C29*(1-$G29))</f>
        <v/>
      </c>
      <c r="N29" s="16" t="str">
        <f aca="false">IF($A29="","",IF($F29="",پارامترها!$B$15,$F29))</f>
        <v/>
      </c>
      <c r="O29" s="7" t="str">
        <f aca="false">IF($A29="","",$B29*$C29*پارامترها!$B$6)</f>
        <v/>
      </c>
      <c r="P29" s="7" t="str">
        <f aca="false">IF($A29="","",$D29*پارامترها!$B$13*پارامترها!$B$6)</f>
        <v/>
      </c>
      <c r="Q29" s="7" t="str">
        <f aca="false">IF($A29="","",$O29*پارامترها!$B$14)</f>
        <v/>
      </c>
      <c r="R29" s="7" t="str">
        <f aca="false">IF($A29="","",$O29+$P29+$Q29)</f>
        <v/>
      </c>
      <c r="S29" s="7" t="str">
        <f aca="false">IF($A29="","",IF($E29&gt;0,$E29*$C29*پارامترها!$B$6,$R29*(1+پارامترها!$B$23)))</f>
        <v/>
      </c>
      <c r="T29" s="7" t="str">
        <f aca="false">IF($A29="","",$S29*$N29)</f>
        <v/>
      </c>
      <c r="U29" s="7" t="str">
        <f aca="false">IF($A29="","",$D29*پارامترها!$B$16)</f>
        <v/>
      </c>
      <c r="V29" s="7" t="str">
        <f aca="false">IF($A29="","",پارامترها!$B$19*IF(پارامترها!$B$20="وزن",IF(SUM($D$5:$D$29)=0,0,$D29/SUM($D$5:$D$29)),IF(SUMPRODUCT($B$5:$B$29,$C$5:$C$29)=0,0,$B29*$C29/SUMPRODUCT($B$5:$B$29,$C$5:$C$29))))</f>
        <v/>
      </c>
      <c r="W29" s="7" t="str">
        <f aca="false">IF($A29="","",$H29*$C29)</f>
        <v/>
      </c>
      <c r="X29" s="7" t="str">
        <f aca="false">IF($A29="","",($S29+$T29)*پارامترها!$B$21)</f>
        <v/>
      </c>
      <c r="Y29" s="7" t="str">
        <f aca="false">IF($A29="","",$R29+$T29+$U29+$V29+$W29+IF(پارامترها!$B$22="بله",$X29,0))</f>
        <v/>
      </c>
      <c r="Z29" s="7" t="str">
        <f aca="false">IF($A29="","",IF($C29=0,0,$Y29/$C29))</f>
        <v/>
      </c>
      <c r="AA29" s="7" t="str">
        <f aca="false">IF($A29="","",$J29/(1+پارامترها!$B$21))</f>
        <v/>
      </c>
      <c r="AB29" s="7" t="str">
        <f aca="false">IF($A29="","",$AA29*$K29)</f>
        <v/>
      </c>
      <c r="AC29" s="7" t="str">
        <f aca="false">IF($A29="","",$AA29*$M29)</f>
        <v/>
      </c>
      <c r="AD29" s="7" t="str">
        <f aca="false">IF($A29="","",($AA29-$AB29)*$M29)</f>
        <v/>
      </c>
      <c r="AE29" s="7" t="str">
        <f aca="false">IF($A29="","",$AD29-$Y29)</f>
        <v/>
      </c>
      <c r="AF29" s="7" t="str">
        <f aca="false">IF($A29="","",IF($C29=0,0,$AE29/$C29))</f>
        <v/>
      </c>
      <c r="AG29" s="16" t="str">
        <f aca="false">IF($A29="","",IF($AC29=0,0,$AE29/$AC29))</f>
        <v/>
      </c>
      <c r="AH29" s="7" t="str">
        <f aca="false">IF($A29="","",IF(OR($K29&gt;=1,$M29=0),0,$Y29/((1-$K29)*$M29)*(1+پارامترها!$B$21)))</f>
        <v/>
      </c>
      <c r="AI29" s="7" t="str">
        <f aca="false">IF($A29="","",IF(OR((1-$K29-پارامترها!$B$24)&lt;=0,$M29=0),0,$Y29/($M29*(1-$K29-پارامترها!$B$24))*(1+پارامترها!$B$21)))</f>
        <v/>
      </c>
      <c r="AJ29" s="7" t="str">
        <f aca="false">IF($A29="","",IF($AP29=0,0,($AD29-$AQ29)/$AP29))</f>
        <v/>
      </c>
      <c r="AK29" s="16" t="str">
        <f aca="false">IF($A29="","",IF(پارامترها!$B$6=0,0,($AJ29-پارامترها!$B$6)/پارامترها!$B$6))</f>
        <v/>
      </c>
      <c r="AL29" s="16" t="str">
        <f aca="false">IF($A29="","",IF(OR($Y29=0,$L29=0),0,$AE29/$Y29*365/$L29))</f>
        <v/>
      </c>
      <c r="AM29" s="16" t="str">
        <f aca="false">IF($A29="","",IF($I29=0,0,($J29-$I29)/$I29))</f>
        <v/>
      </c>
      <c r="AN29" s="17" t="str">
        <f aca="false">IF($A29="","",$B29*$C29*(1+پارامترها!$B$14)+$D29*پارامترها!$B$13)</f>
        <v/>
      </c>
      <c r="AO29" s="17" t="str">
        <f aca="false">IF($A29="","",IF($E29&gt;0,$E29*$C29,$AN29*(1+پارامترها!$B$23)))</f>
        <v/>
      </c>
      <c r="AP29" s="7" t="str">
        <f aca="false">IF($A29="","",$AN29+$AO29*$N29+IF(پارامترها!$B$22="بله",$AO29*(1+$N29)*پارامترها!$B$21,0))</f>
        <v/>
      </c>
      <c r="AQ29" s="7" t="str">
        <f aca="false">IF($A29="","",$U29+$V29+$W29)</f>
        <v/>
      </c>
    </row>
    <row r="30" customFormat="false" ht="15" hidden="false" customHeight="false" outlineLevel="0" collapsed="false">
      <c r="A30" s="18" t="s">
        <v>97</v>
      </c>
      <c r="B30" s="19"/>
      <c r="C30" s="20" t="n">
        <f aca="false">SUM(C5:C29)</f>
        <v>3400</v>
      </c>
      <c r="D30" s="21" t="n">
        <f aca="false">SUM(D5:D29)</f>
        <v>170</v>
      </c>
      <c r="E30" s="19"/>
      <c r="F30" s="22"/>
      <c r="G30" s="22"/>
      <c r="H30" s="20"/>
      <c r="I30" s="20"/>
      <c r="J30" s="20"/>
      <c r="K30" s="22"/>
      <c r="L30" s="20"/>
      <c r="M30" s="21" t="n">
        <f aca="false">SUM(M5:M29)</f>
        <v>3260</v>
      </c>
      <c r="N30" s="22"/>
      <c r="O30" s="20" t="n">
        <f aca="false">SUM(O5:O29)</f>
        <v>27744026800</v>
      </c>
      <c r="P30" s="20" t="n">
        <f aca="false">SUM(P5:P29)</f>
        <v>133083650</v>
      </c>
      <c r="Q30" s="20" t="n">
        <f aca="false">SUM(Q5:Q29)</f>
        <v>138720134</v>
      </c>
      <c r="R30" s="20" t="n">
        <f aca="false">SUM(R5:R29)</f>
        <v>28015830584</v>
      </c>
      <c r="S30" s="20" t="n">
        <f aca="false">SUM(S5:S29)</f>
        <v>28015830584</v>
      </c>
      <c r="T30" s="20" t="n">
        <f aca="false">SUM(T5:T29)</f>
        <v>11206332233.6</v>
      </c>
      <c r="U30" s="20" t="n">
        <f aca="false">SUM(U5:U29)</f>
        <v>20400000</v>
      </c>
      <c r="V30" s="20" t="n">
        <f aca="false">SUM(V5:V29)</f>
        <v>1350000000</v>
      </c>
      <c r="W30" s="20" t="n">
        <f aca="false">SUM(W5:W29)</f>
        <v>1140000000</v>
      </c>
      <c r="X30" s="20" t="n">
        <f aca="false">SUM(X5:X29)</f>
        <v>3922216281.76</v>
      </c>
      <c r="Y30" s="20" t="n">
        <f aca="false">SUM(Y5:Y29)</f>
        <v>41732562817.6</v>
      </c>
      <c r="Z30" s="20"/>
      <c r="AA30" s="20"/>
      <c r="AB30" s="20"/>
      <c r="AC30" s="20" t="n">
        <f aca="false">SUM(AC5:AC29)</f>
        <v>90121636363.6364</v>
      </c>
      <c r="AD30" s="20" t="n">
        <f aca="false">SUM(AD5:AD29)</f>
        <v>79308845454.5455</v>
      </c>
      <c r="AE30" s="20" t="n">
        <f aca="false">SUM(AE5:AE29)</f>
        <v>37576282636.9455</v>
      </c>
      <c r="AF30" s="20"/>
      <c r="AG30" s="22" t="n">
        <f aca="false">IF($AC$30=0,0,$AE$30/$AC$30)</f>
        <v>0.416950736284093</v>
      </c>
      <c r="AH30" s="20"/>
      <c r="AI30" s="20"/>
      <c r="AJ30" s="20"/>
      <c r="AK30" s="22"/>
      <c r="AL30" s="22"/>
      <c r="AM30" s="22"/>
      <c r="AN30" s="19" t="n">
        <f aca="false">SUM(AN5:AN29)</f>
        <v>89468</v>
      </c>
      <c r="AO30" s="19" t="n">
        <f aca="false">SUM(AO5:AO29)</f>
        <v>89468</v>
      </c>
      <c r="AP30" s="20" t="n">
        <f aca="false">SUM(AP5:AP29)</f>
        <v>125255.2</v>
      </c>
      <c r="AQ30" s="20" t="n">
        <f aca="false">SUM(AQ5:AQ29)</f>
        <v>2510400000</v>
      </c>
    </row>
    <row r="32" customFormat="false" ht="15" hidden="false" customHeight="false" outlineLevel="0" collapsed="false">
      <c r="A32" s="2" t="s">
        <v>98</v>
      </c>
    </row>
    <row r="33" customFormat="false" ht="15" hidden="false" customHeight="false" outlineLevel="0" collapsed="false">
      <c r="A33" s="2" t="s">
        <v>99</v>
      </c>
    </row>
    <row r="34" customFormat="false" ht="15" hidden="false" customHeight="false" outlineLevel="0" collapsed="false">
      <c r="A34" s="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" t="s">
        <v>101</v>
      </c>
    </row>
    <row r="3" customFormat="false" ht="15" hidden="false" customHeight="false" outlineLevel="0" collapsed="false">
      <c r="A3" s="3" t="s">
        <v>102</v>
      </c>
      <c r="B3" s="23" t="s">
        <v>103</v>
      </c>
      <c r="C3" s="23" t="s">
        <v>104</v>
      </c>
    </row>
    <row r="4" customFormat="false" ht="15" hidden="false" customHeight="false" outlineLevel="0" collapsed="false">
      <c r="A4" s="24" t="s">
        <v>105</v>
      </c>
      <c r="B4" s="25" t="n">
        <f aca="false">SUMPRODUCT(کالاها!$B$5:$B$29,کالاها!$C$5:$C$29)</f>
        <v>88600</v>
      </c>
      <c r="D4" s="2" t="s">
        <v>106</v>
      </c>
    </row>
    <row r="5" customFormat="false" ht="15" hidden="false" customHeight="false" outlineLevel="0" collapsed="false">
      <c r="A5" s="24" t="s">
        <v>107</v>
      </c>
      <c r="B5" s="26" t="n">
        <f aca="false">کالاها!$D$30</f>
        <v>170</v>
      </c>
      <c r="D5" s="2"/>
    </row>
    <row r="6" customFormat="false" ht="15" hidden="false" customHeight="false" outlineLevel="0" collapsed="false">
      <c r="A6" s="24" t="s">
        <v>108</v>
      </c>
      <c r="B6" s="27" t="n">
        <f aca="false">کالاها!$C$30</f>
        <v>3400</v>
      </c>
      <c r="C6" s="28" t="n">
        <f aca="false">$B6/10</f>
        <v>340</v>
      </c>
      <c r="D6" s="2"/>
    </row>
    <row r="7" customFormat="false" ht="15" hidden="false" customHeight="false" outlineLevel="0" collapsed="false">
      <c r="A7" s="24" t="s">
        <v>61</v>
      </c>
      <c r="B7" s="26" t="n">
        <f aca="false">کالاها!$M$30</f>
        <v>3260</v>
      </c>
      <c r="D7" s="2" t="s">
        <v>109</v>
      </c>
    </row>
    <row r="8" customFormat="false" ht="15" hidden="false" customHeight="false" outlineLevel="0" collapsed="false">
      <c r="A8" s="24" t="s">
        <v>110</v>
      </c>
      <c r="B8" s="27" t="n">
        <f aca="false">کالاها!$S$30</f>
        <v>28015830584</v>
      </c>
      <c r="C8" s="28" t="n">
        <f aca="false">$B8/10</f>
        <v>2801583058.4</v>
      </c>
      <c r="D8" s="2" t="s">
        <v>111</v>
      </c>
    </row>
    <row r="9" customFormat="false" ht="15" hidden="false" customHeight="false" outlineLevel="0" collapsed="false">
      <c r="A9" s="24" t="s">
        <v>112</v>
      </c>
      <c r="B9" s="27" t="n">
        <f aca="false">کالاها!$Y$30</f>
        <v>41732562817.6</v>
      </c>
      <c r="C9" s="28" t="n">
        <f aca="false">$B9/10</f>
        <v>4173256281.76</v>
      </c>
      <c r="D9" s="2" t="s">
        <v>113</v>
      </c>
    </row>
    <row r="10" customFormat="false" ht="15" hidden="false" customHeight="false" outlineLevel="0" collapsed="false">
      <c r="A10" s="24" t="s">
        <v>114</v>
      </c>
      <c r="B10" s="27" t="n">
        <f aca="false">کالاها!$X$30</f>
        <v>3922216281.76</v>
      </c>
      <c r="C10" s="28" t="n">
        <f aca="false">$B10/10</f>
        <v>392221628.176</v>
      </c>
      <c r="D10" s="2" t="s">
        <v>115</v>
      </c>
    </row>
    <row r="11" customFormat="false" ht="15" hidden="false" customHeight="false" outlineLevel="0" collapsed="false">
      <c r="A11" s="24" t="s">
        <v>116</v>
      </c>
      <c r="B11" s="27" t="n">
        <f aca="false">کالاها!$Y$30+IF(پارامترها!$B$22="بله",0,کالاها!$X$30)</f>
        <v>45654779099.36</v>
      </c>
      <c r="C11" s="28" t="n">
        <f aca="false">$B11/10</f>
        <v>4565477909.936</v>
      </c>
      <c r="D11" s="2" t="s">
        <v>117</v>
      </c>
    </row>
    <row r="13" customFormat="false" ht="15" hidden="false" customHeight="false" outlineLevel="0" collapsed="false">
      <c r="A13" s="3" t="s">
        <v>118</v>
      </c>
      <c r="B13" s="23" t="s">
        <v>103</v>
      </c>
      <c r="C13" s="23" t="s">
        <v>104</v>
      </c>
    </row>
    <row r="14" customFormat="false" ht="15" hidden="false" customHeight="false" outlineLevel="0" collapsed="false">
      <c r="A14" s="24" t="s">
        <v>119</v>
      </c>
      <c r="B14" s="27" t="n">
        <f aca="false">کالاها!$AC$30</f>
        <v>90121636363.6364</v>
      </c>
      <c r="C14" s="28" t="n">
        <f aca="false">$B14/10</f>
        <v>9012163636.36364</v>
      </c>
      <c r="D14" s="2" t="s">
        <v>120</v>
      </c>
    </row>
    <row r="15" customFormat="false" ht="15" hidden="false" customHeight="false" outlineLevel="0" collapsed="false">
      <c r="A15" s="24" t="s">
        <v>121</v>
      </c>
      <c r="B15" s="27" t="n">
        <f aca="false">کالاها!$AE$30</f>
        <v>37576282636.9455</v>
      </c>
      <c r="C15" s="28" t="n">
        <f aca="false">$B15/10</f>
        <v>3757628263.69455</v>
      </c>
      <c r="D15" s="2" t="s">
        <v>122</v>
      </c>
    </row>
    <row r="16" customFormat="false" ht="15" hidden="false" customHeight="false" outlineLevel="0" collapsed="false">
      <c r="A16" s="24" t="s">
        <v>123</v>
      </c>
      <c r="B16" s="29" t="n">
        <f aca="false">IF($B14=0,0,$B15/$B14)</f>
        <v>0.416950736284093</v>
      </c>
      <c r="D16" s="2" t="s">
        <v>124</v>
      </c>
    </row>
    <row r="17" customFormat="false" ht="15" hidden="false" customHeight="false" outlineLevel="0" collapsed="false">
      <c r="A17" s="24" t="s">
        <v>125</v>
      </c>
      <c r="B17" s="29" t="n">
        <f aca="false">IF(کالاها!$Y$30=0,0,کالاها!$AE$30/کالاها!$Y$30)</f>
        <v>0.900406783095964</v>
      </c>
      <c r="D17" s="2" t="s">
        <v>126</v>
      </c>
    </row>
    <row r="18" customFormat="false" ht="15" hidden="false" customHeight="false" outlineLevel="0" collapsed="false">
      <c r="A18" s="24" t="s">
        <v>127</v>
      </c>
      <c r="B18" s="26" t="n">
        <f aca="false">IF(کالاها!$Y$30=0,0,SUMPRODUCT(کالاها!$L$5:$L$29,کالاها!$Y$5:$Y$29)/کالاها!$Y$30)</f>
        <v>79.6989104163455</v>
      </c>
      <c r="D18" s="2" t="s">
        <v>128</v>
      </c>
    </row>
    <row r="19" customFormat="false" ht="15" hidden="false" customHeight="false" outlineLevel="0" collapsed="false">
      <c r="A19" s="24" t="s">
        <v>129</v>
      </c>
      <c r="B19" s="29" t="n">
        <f aca="false">IF($B18=0,0,$B17*365/$B18)</f>
        <v>4.123625707217</v>
      </c>
      <c r="D19" s="2" t="s">
        <v>130</v>
      </c>
    </row>
    <row r="21" customFormat="false" ht="15" hidden="false" customHeight="false" outlineLevel="0" collapsed="false">
      <c r="A21" s="3" t="s">
        <v>131</v>
      </c>
    </row>
    <row r="22" customFormat="false" ht="15" hidden="false" customHeight="false" outlineLevel="0" collapsed="false">
      <c r="A22" s="24" t="s">
        <v>132</v>
      </c>
      <c r="B22" s="27" t="n">
        <f aca="false">IF(کالاها!$AP$30=0,0,(کالاها!$AD$30-کالاها!$AQ$30)/کالاها!$AP$30)</f>
        <v>613135.785616449</v>
      </c>
      <c r="D22" s="2" t="s">
        <v>133</v>
      </c>
    </row>
    <row r="23" customFormat="false" ht="15" hidden="false" customHeight="false" outlineLevel="0" collapsed="false">
      <c r="A23" s="24" t="s">
        <v>134</v>
      </c>
      <c r="B23" s="27" t="n">
        <f aca="false">پارامترها!$B$6</f>
        <v>313138</v>
      </c>
    </row>
    <row r="24" customFormat="false" ht="15" hidden="false" customHeight="false" outlineLevel="0" collapsed="false">
      <c r="A24" s="24" t="s">
        <v>135</v>
      </c>
      <c r="B24" s="29" t="n">
        <f aca="false">IF(پارامترها!$B$6=0,0,($B22-پارامترها!$B$6)/پارامترها!$B$6)</f>
        <v>0.958036985662709</v>
      </c>
      <c r="D24" s="2" t="s">
        <v>136</v>
      </c>
    </row>
    <row r="25" customFormat="false" ht="15" hidden="false" customHeight="false" outlineLevel="0" collapsed="false">
      <c r="A25" s="24" t="s">
        <v>137</v>
      </c>
      <c r="B25" s="27" t="n">
        <f aca="false">(پارامترها!$B$6-پارامترها!$B$9)*کالاها!$AP$30</f>
        <v>0</v>
      </c>
      <c r="C25" s="28" t="n">
        <f aca="false">$B25/10</f>
        <v>0</v>
      </c>
      <c r="D25" s="2" t="s">
        <v>138</v>
      </c>
    </row>
    <row r="26" customFormat="false" ht="15" hidden="false" customHeight="false" outlineLevel="0" collapsed="false">
      <c r="A26" s="24" t="s">
        <v>139</v>
      </c>
      <c r="B26" s="27" t="n">
        <f aca="false">کالاها!$AE$30+(پارامترها!$B$6-پارامترها!$B$9)*کالاها!$AP$30</f>
        <v>37576282636.9455</v>
      </c>
      <c r="C26" s="28" t="n">
        <f aca="false">$B26/10</f>
        <v>3757628263.69455</v>
      </c>
      <c r="D26" s="2" t="s">
        <v>140</v>
      </c>
    </row>
    <row r="27" customFormat="false" ht="15" hidden="false" customHeight="false" outlineLevel="0" collapsed="false">
      <c r="A27" s="24" t="s">
        <v>141</v>
      </c>
      <c r="B27" s="27" t="n">
        <f aca="false">کالاها!$AE$30</f>
        <v>37576282636.9455</v>
      </c>
      <c r="C27" s="28" t="n">
        <f aca="false">$B27/10</f>
        <v>3757628263.69455</v>
      </c>
      <c r="D27" s="2" t="s">
        <v>142</v>
      </c>
    </row>
    <row r="29" customFormat="false" ht="15" hidden="false" customHeight="false" outlineLevel="0" collapsed="false">
      <c r="A29" s="3" t="s">
        <v>143</v>
      </c>
    </row>
    <row r="30" customFormat="false" ht="15" hidden="false" customHeight="false" outlineLevel="0" collapsed="false">
      <c r="A30" s="13" t="s">
        <v>144</v>
      </c>
      <c r="B30" s="13" t="s">
        <v>145</v>
      </c>
      <c r="C30" s="13" t="s">
        <v>146</v>
      </c>
      <c r="D30" s="13" t="s">
        <v>147</v>
      </c>
      <c r="E30" s="13" t="s">
        <v>148</v>
      </c>
    </row>
    <row r="31" customFormat="false" ht="15" hidden="false" customHeight="false" outlineLevel="0" collapsed="false">
      <c r="A31" s="10" t="n">
        <v>-0.2</v>
      </c>
      <c r="B31" s="28" t="n">
        <f aca="false">پارامترها!$B$6*(1+$A31)</f>
        <v>250510.4</v>
      </c>
      <c r="C31" s="28" t="n">
        <f aca="false">کالاها!$AP$30*$B31+کالاها!$AQ$30</f>
        <v>33888130254.08</v>
      </c>
      <c r="D31" s="28" t="n">
        <f aca="false">کالاها!$AD$30-$C31</f>
        <v>45420715200.4655</v>
      </c>
      <c r="E31" s="30" t="n">
        <f aca="false">IF(کالاها!$AC$30=0,0,$D31/کالاها!$AC$30)</f>
        <v>0.50399345854302</v>
      </c>
    </row>
    <row r="32" customFormat="false" ht="15" hidden="false" customHeight="false" outlineLevel="0" collapsed="false">
      <c r="A32" s="10" t="n">
        <v>-0.1</v>
      </c>
      <c r="B32" s="28" t="n">
        <f aca="false">پارامترها!$B$6*(1+$A32)</f>
        <v>281824.2</v>
      </c>
      <c r="C32" s="28" t="n">
        <f aca="false">کالاها!$AP$30*$B32+کالاها!$AQ$30</f>
        <v>37810346535.84</v>
      </c>
      <c r="D32" s="28" t="n">
        <f aca="false">کالاها!$AD$30-$C32</f>
        <v>41498498918.7055</v>
      </c>
      <c r="E32" s="30" t="n">
        <f aca="false">IF(کالاها!$AC$30=0,0,$D32/کالاها!$AC$30)</f>
        <v>0.460472097413556</v>
      </c>
    </row>
    <row r="33" customFormat="false" ht="15" hidden="false" customHeight="false" outlineLevel="0" collapsed="false">
      <c r="A33" s="10" t="n">
        <v>0</v>
      </c>
      <c r="B33" s="28" t="n">
        <f aca="false">پارامترها!$B$6*(1+$A33)</f>
        <v>313138</v>
      </c>
      <c r="C33" s="28" t="n">
        <f aca="false">کالاها!$AP$30*$B33+کالاها!$AQ$30</f>
        <v>41732562817.6</v>
      </c>
      <c r="D33" s="28" t="n">
        <f aca="false">کالاها!$AD$30-$C33</f>
        <v>37576282636.9455</v>
      </c>
      <c r="E33" s="30" t="n">
        <f aca="false">IF(کالاها!$AC$30=0,0,$D33/کالاها!$AC$30)</f>
        <v>0.416950736284093</v>
      </c>
    </row>
    <row r="34" customFormat="false" ht="15" hidden="false" customHeight="false" outlineLevel="0" collapsed="false">
      <c r="A34" s="10" t="n">
        <v>0.1</v>
      </c>
      <c r="B34" s="28" t="n">
        <f aca="false">پارامترها!$B$6*(1+$A34)</f>
        <v>344451.8</v>
      </c>
      <c r="C34" s="28" t="n">
        <f aca="false">کالاها!$AP$30*$B34+کالاها!$AQ$30</f>
        <v>45654779099.36</v>
      </c>
      <c r="D34" s="28" t="n">
        <f aca="false">کالاها!$AD$30-$C34</f>
        <v>33654066355.1855</v>
      </c>
      <c r="E34" s="30" t="n">
        <f aca="false">IF(کالاها!$AC$30=0,0,$D34/کالاها!$AC$30)</f>
        <v>0.373429375154629</v>
      </c>
    </row>
    <row r="35" customFormat="false" ht="15" hidden="false" customHeight="false" outlineLevel="0" collapsed="false">
      <c r="A35" s="10" t="n">
        <v>0.2</v>
      </c>
      <c r="B35" s="28" t="n">
        <f aca="false">پارامترها!$B$6*(1+$A35)</f>
        <v>375765.6</v>
      </c>
      <c r="C35" s="28" t="n">
        <f aca="false">کالاها!$AP$30*$B35+کالاها!$AQ$30</f>
        <v>49576995381.12</v>
      </c>
      <c r="D35" s="28" t="n">
        <f aca="false">کالاها!$AD$30-$C35</f>
        <v>29731850073.4255</v>
      </c>
      <c r="E35" s="30" t="n">
        <f aca="false">IF(کالاها!$AC$30=0,0,$D35/کالاها!$AC$30)</f>
        <v>0.329908014025166</v>
      </c>
    </row>
    <row r="36" customFormat="false" ht="15" hidden="false" customHeight="false" outlineLevel="0" collapsed="false">
      <c r="A36" s="10" t="n">
        <v>0.3</v>
      </c>
      <c r="B36" s="28" t="n">
        <f aca="false">پارامترها!$B$6*(1+$A36)</f>
        <v>407079.4</v>
      </c>
      <c r="C36" s="28" t="n">
        <f aca="false">کالاها!$AP$30*$B36+کالاها!$AQ$30</f>
        <v>53499211662.88</v>
      </c>
      <c r="D36" s="28" t="n">
        <f aca="false">کالاها!$AD$30-$C36</f>
        <v>25809633791.6655</v>
      </c>
      <c r="E36" s="30" t="n">
        <f aca="false">IF(کالاها!$AC$30=0,0,$D36/کالاها!$AC$30)</f>
        <v>0.286386652895703</v>
      </c>
    </row>
    <row r="37" customFormat="false" ht="15" hidden="false" customHeight="false" outlineLevel="0" collapsed="false">
      <c r="A37" s="10" t="n">
        <v>0.4</v>
      </c>
      <c r="B37" s="28" t="n">
        <f aca="false">پارامترها!$B$6*(1+$A37)</f>
        <v>438393.2</v>
      </c>
      <c r="C37" s="28" t="n">
        <f aca="false">کالاها!$AP$30*$B37+کالاها!$AQ$30</f>
        <v>57421427944.64</v>
      </c>
      <c r="D37" s="28" t="n">
        <f aca="false">کالاها!$AD$30-$C37</f>
        <v>21887417509.9055</v>
      </c>
      <c r="E37" s="30" t="n">
        <f aca="false">IF(کالاها!$AC$30=0,0,$D37/کالاها!$AC$30)</f>
        <v>0.242865291766239</v>
      </c>
    </row>
    <row r="38" customFormat="false" ht="15" hidden="false" customHeight="false" outlineLevel="0" collapsed="false">
      <c r="A38" s="10" t="n">
        <v>0.5</v>
      </c>
      <c r="B38" s="28" t="n">
        <f aca="false">پارامترها!$B$6*(1+$A38)</f>
        <v>469707</v>
      </c>
      <c r="C38" s="28" t="n">
        <f aca="false">کالاها!$AP$30*$B38+کالاها!$AQ$30</f>
        <v>61343644226.4</v>
      </c>
      <c r="D38" s="28" t="n">
        <f aca="false">کالاها!$AD$30-$C38</f>
        <v>17965201228.1455</v>
      </c>
      <c r="E38" s="30" t="n">
        <f aca="false">IF(کالاها!$AC$30=0,0,$D38/کالاها!$AC$30)</f>
        <v>0.199343930636776</v>
      </c>
    </row>
    <row r="40" customFormat="false" ht="15" hidden="false" customHeight="false" outlineLevel="0" collapsed="false">
      <c r="A40" s="2" t="s">
        <v>149</v>
      </c>
    </row>
    <row r="41" customFormat="false" ht="15" hidden="false" customHeight="false" outlineLevel="0" collapsed="false">
      <c r="A41" s="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151</v>
      </c>
    </row>
    <row r="3" customFormat="false" ht="30" hidden="false" customHeight="true" outlineLevel="0" collapsed="false">
      <c r="A3" s="31" t="s">
        <v>152</v>
      </c>
      <c r="B3" s="32" t="s">
        <v>153</v>
      </c>
    </row>
    <row r="4" customFormat="false" ht="30" hidden="false" customHeight="true" outlineLevel="0" collapsed="false">
      <c r="A4" s="31" t="s">
        <v>16</v>
      </c>
      <c r="B4" s="32" t="s">
        <v>154</v>
      </c>
    </row>
    <row r="5" customFormat="false" ht="30" hidden="false" customHeight="true" outlineLevel="0" collapsed="false">
      <c r="A5" s="31" t="s">
        <v>155</v>
      </c>
      <c r="B5" s="32" t="s">
        <v>156</v>
      </c>
    </row>
    <row r="6" customFormat="false" ht="30" hidden="false" customHeight="true" outlineLevel="0" collapsed="false">
      <c r="A6" s="31" t="s">
        <v>157</v>
      </c>
      <c r="B6" s="32" t="s">
        <v>158</v>
      </c>
    </row>
    <row r="7" customFormat="false" ht="30" hidden="false" customHeight="true" outlineLevel="0" collapsed="false">
      <c r="A7" s="31" t="s">
        <v>159</v>
      </c>
      <c r="B7" s="32" t="s">
        <v>160</v>
      </c>
    </row>
    <row r="9" customFormat="false" ht="30" hidden="false" customHeight="true" outlineLevel="0" collapsed="false">
      <c r="A9" s="31" t="s">
        <v>161</v>
      </c>
      <c r="B9" s="32" t="s">
        <v>162</v>
      </c>
    </row>
    <row r="11" customFormat="false" ht="30" hidden="false" customHeight="true" outlineLevel="0" collapsed="false">
      <c r="A11" s="31" t="s">
        <v>163</v>
      </c>
      <c r="B11" s="32" t="s">
        <v>164</v>
      </c>
    </row>
    <row r="12" customFormat="false" ht="30" hidden="false" customHeight="true" outlineLevel="0" collapsed="false">
      <c r="A12" s="31" t="s">
        <v>165</v>
      </c>
      <c r="B12" s="32" t="s">
        <v>166</v>
      </c>
    </row>
    <row r="13" customFormat="false" ht="30" hidden="false" customHeight="true" outlineLevel="0" collapsed="false">
      <c r="A13" s="31" t="s">
        <v>167</v>
      </c>
      <c r="B13" s="32" t="s">
        <v>168</v>
      </c>
    </row>
    <row r="14" customFormat="false" ht="30" hidden="false" customHeight="true" outlineLevel="0" collapsed="false">
      <c r="A14" s="31" t="s">
        <v>169</v>
      </c>
      <c r="B14" s="32" t="s">
        <v>170</v>
      </c>
    </row>
    <row r="15" customFormat="false" ht="30" hidden="false" customHeight="true" outlineLevel="0" collapsed="false">
      <c r="A15" s="31" t="s">
        <v>131</v>
      </c>
      <c r="B15" s="32" t="s">
        <v>171</v>
      </c>
    </row>
    <row r="17" customFormat="false" ht="30" hidden="false" customHeight="true" outlineLevel="0" collapsed="false">
      <c r="A17" s="31" t="s">
        <v>172</v>
      </c>
      <c r="B17" s="32" t="s">
        <v>173</v>
      </c>
    </row>
    <row r="18" customFormat="false" ht="30" hidden="false" customHeight="true" outlineLevel="0" collapsed="false">
      <c r="A18" s="31" t="s">
        <v>174</v>
      </c>
      <c r="B18" s="32" t="s">
        <v>175</v>
      </c>
    </row>
    <row r="19" customFormat="false" ht="30" hidden="false" customHeight="true" outlineLevel="0" collapsed="false">
      <c r="A19" s="31" t="s">
        <v>176</v>
      </c>
      <c r="B19" s="32" t="s">
        <v>177</v>
      </c>
    </row>
    <row r="20" customFormat="false" ht="30" hidden="false" customHeight="true" outlineLevel="0" collapsed="false">
      <c r="A20" s="31" t="s">
        <v>178</v>
      </c>
      <c r="B20" s="32" t="s">
        <v>179</v>
      </c>
    </row>
    <row r="22" customFormat="false" ht="30" hidden="false" customHeight="true" outlineLevel="0" collapsed="false">
      <c r="A22" s="31" t="s">
        <v>180</v>
      </c>
      <c r="B22" s="3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2026-08-24T08:37:47Z</dcterms:created>
  <dc:creator>openpyxl</dc:creator>
  <dc:description/>
  <dc:language>en-US</dc:language>
  <cp:lastModifiedBy/>
  <dcterms:modified xsi:type="dcterms:W3CDTF">2026-08-24T08:37:47Z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