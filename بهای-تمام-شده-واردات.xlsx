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پارامترها" sheetId="1" state="visible" r:id="rId3"/>
    <sheet name="کالاها" sheetId="2" state="visible" r:id="rId4"/>
    <sheet name="خلاصه" sheetId="3" state="visible" r:id="rId5"/>
    <sheet name="راهنما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<sst xmlns="http://schemas.openxmlformats.org/spreadsheetml/2006/main" count="155" uniqueCount="151">
  <si>
    <t xml:space="preserve">پارامترهای محاسبه بهای تمام‌شده واردات</t>
  </si>
  <si>
    <t xml:space="preserve">کالاها از دبی خریداری، به بندرعباس حمل و از آنجا به تهران منتقل می‌شوند.</t>
  </si>
  <si>
    <t xml:space="preserve">۱ — نرخ ارز (بازار آزاد)</t>
  </si>
  <si>
    <t xml:space="preserve">دلار آمریکا → ریال</t>
  </si>
  <si>
    <t xml:space="preserve">نرخ بازار آزاد. نرخ رسمی/نیما را وارد نکنید.</t>
  </si>
  <si>
    <t xml:space="preserve">درهم امارات → ریال</t>
  </si>
  <si>
    <t xml:space="preserve">مبنای اصلی همه محاسبات خرید. از صرافی بگیرید.</t>
  </si>
  <si>
    <t xml:space="preserve">دلار → درهم (نرخ میخکوب)</t>
  </si>
  <si>
    <t xml:space="preserve">درهم به دلار میخکوب است و تقریباً ثابت می‌ماند.</t>
  </si>
  <si>
    <t xml:space="preserve">درهم بر حسب دلار (کنترلی)</t>
  </si>
  <si>
    <t xml:space="preserve">اگر با سلول B6 اختلاف زیاد دارد، یکی از نرخ‌ها اشتباه است.</t>
  </si>
  <si>
    <t xml:space="preserve">نرخ درهم در روز خرید محموله</t>
  </si>
  <si>
    <t xml:space="preserve">برای سنجش ریسک ارزی در شیت «خلاصه» استفاده می‌شود.</t>
  </si>
  <si>
    <t xml:space="preserve">تاریخ و منبع نرخ</t>
  </si>
  <si>
    <t xml:space="preserve">دستی</t>
  </si>
  <si>
    <t xml:space="preserve">مثلاً: ۱۴۰۵/۰۵/۱۶ — صرافی/tgju</t>
  </si>
  <si>
    <t xml:space="preserve">۲ — پارامترهای محموله</t>
  </si>
  <si>
    <t xml:space="preserve">کرایه دبی ← بندرعباس (درهم بر کیلوگرم)</t>
  </si>
  <si>
    <t xml:space="preserve">حمل دریایی گروپاژ. حمل هوایی چند برابر است.</t>
  </si>
  <si>
    <t xml:space="preserve">بیمه (٪ ارزش کالا)</t>
  </si>
  <si>
    <t xml:space="preserve">حقوق ورودی گمرک (٪ ارزش CIF)</t>
  </si>
  <si>
    <t xml:space="preserve">برای لوازم آرایشی معمولاً بالاست — از ترخیص‌کار خود بگیرید.</t>
  </si>
  <si>
    <t xml:space="preserve">حمل بندرعباس ← تهران (ریال بر کیلوگرم)</t>
  </si>
  <si>
    <t xml:space="preserve">ترخیص، انبارداری و اسناد (ریال — کل محموله)</t>
  </si>
  <si>
    <t xml:space="preserve">سایر هزینه‌های محموله (ریال — کل محموله)</t>
  </si>
  <si>
    <t xml:space="preserve">مجوز، برچسب اصالت، آزمایشگاه، حق‌العمل</t>
  </si>
  <si>
    <t xml:space="preserve">جمع هزینه‌های مقطوع محموله</t>
  </si>
  <si>
    <t xml:space="preserve">این مبلغ بین کالاها سرشکن می‌شود.</t>
  </si>
  <si>
    <t xml:space="preserve">مبنای سرشکن‌کردن هزینه‌های مقطوع</t>
  </si>
  <si>
    <t xml:space="preserve">وزن</t>
  </si>
  <si>
    <t xml:space="preserve">«وزن» یا «ارزش» — از فهرست کشویی انتخاب کنید.</t>
  </si>
  <si>
    <t xml:space="preserve">ارزش افزوده (٪)</t>
  </si>
  <si>
    <t xml:space="preserve">ارزش افزوده گمرک جزو بهای تمام‌شده است؟</t>
  </si>
  <si>
    <t xml:space="preserve">خیر</t>
  </si>
  <si>
    <t xml:space="preserve">اگر مؤدی ثبت‌نام‌شده هستید «خیر» (با VAT فروش تهاتر می‌شود).</t>
  </si>
  <si>
    <t xml:space="preserve">راهنمای رنگ‌ها</t>
  </si>
  <si>
    <t xml:space="preserve">متن آبی روی زمینه زرد = سلول ورودی؛ فقط این‌ها را تغییر دهید.</t>
  </si>
  <si>
    <t xml:space="preserve">متن سیاه = فرمول؛ دست نزنید.</t>
  </si>
  <si>
    <t xml:space="preserve">متن سبز = ارجاع به شیت دیگر.</t>
  </si>
  <si>
    <t xml:space="preserve">هشدار درباره نرخ ارز</t>
  </si>
  <si>
    <t xml:space="preserve">سرویس‌های عمومی ارز (Google، exchangerate و مانند آن) نرخ «رسمی» ریال را می‌دهند، نه نرخ «بازار آزاد».</t>
  </si>
  <si>
    <t xml:space="preserve">اگر بهای تمام‌شده را با نرخ رسمی حساب کنید، عدد چند برابر کمتر از واقعیت درمی‌آید و کالا را زیر قیمت می‌فروشید.</t>
  </si>
  <si>
    <t xml:space="preserve">همیشه نرخ آزاد روز را از صرافی یا بازار بگیرید و در سلول B6 وارد کنید.</t>
  </si>
  <si>
    <t xml:space="preserve">بهای تمام‌شده و سود هر کالا</t>
  </si>
  <si>
    <t xml:space="preserve">فقط ستون‌های آبی/زرد (A تا I) را پر کنید؛ بقیه خودکار محاسبه می‌شوند.</t>
  </si>
  <si>
    <t xml:space="preserve">نام محصول</t>
  </si>
  <si>
    <t xml:space="preserve">قیمت خرید هر واحد
(درهم)</t>
  </si>
  <si>
    <t xml:space="preserve">تعداد</t>
  </si>
  <si>
    <t xml:space="preserve">وزن کل
(کیلوگرم)</t>
  </si>
  <si>
    <t xml:space="preserve">هزینه جانبی هر واحد
(ریال)</t>
  </si>
  <si>
    <t xml:space="preserve">قیمت روز بازار تهران
(ریال)</t>
  </si>
  <si>
    <t xml:space="preserve">قیمت فروش من
(ریال، با VAT)</t>
  </si>
  <si>
    <t xml:space="preserve">هزینه فروش
(٪)</t>
  </si>
  <si>
    <t xml:space="preserve">روز خرید
تا فروش</t>
  </si>
  <si>
    <t xml:space="preserve">ارزش کالا FOB
(ریال)</t>
  </si>
  <si>
    <t xml:space="preserve">کرایه دریایی
(ریال)</t>
  </si>
  <si>
    <t xml:space="preserve">بیمه
(ریال)</t>
  </si>
  <si>
    <t xml:space="preserve">ارزش CIF
(ریال)</t>
  </si>
  <si>
    <t xml:space="preserve">حقوق ورودی گمرک
(ریال)</t>
  </si>
  <si>
    <t xml:space="preserve">حمل داخلی
(ریال)</t>
  </si>
  <si>
    <t xml:space="preserve">سهم از هزینه‌های مقطوع
(ریال)</t>
  </si>
  <si>
    <t xml:space="preserve">هزینه جانبی کل
(ریال)</t>
  </si>
  <si>
    <t xml:space="preserve">ارزش افزوده گمرک
(ریال)</t>
  </si>
  <si>
    <t xml:space="preserve">بهای تمام‌شده کل
(ریال)</t>
  </si>
  <si>
    <t xml:space="preserve">بهای تمام‌شده هر واحد
(ریال)</t>
  </si>
  <si>
    <t xml:space="preserve">فروش خالص هر واحد
(ریال)</t>
  </si>
  <si>
    <t xml:space="preserve">هزینه فروش هر واحد
(ریال)</t>
  </si>
  <si>
    <t xml:space="preserve">سود هر واحد
(ریال)</t>
  </si>
  <si>
    <t xml:space="preserve">حاشیه سود
(٪)</t>
  </si>
  <si>
    <t xml:space="preserve">سود کل ردیف
(ریال)</t>
  </si>
  <si>
    <t xml:space="preserve">نقطه سربه‌سر
قیمت فروش (ریال)</t>
  </si>
  <si>
    <t xml:space="preserve">نرخ درهم سربه‌سر
(ریال)</t>
  </si>
  <si>
    <t xml:space="preserve">حاشیه امنیت ارزی
(٪)</t>
  </si>
  <si>
    <t xml:space="preserve">بازده سالانه‌شده
(٪)</t>
  </si>
  <si>
    <t xml:space="preserve">فاصله تا بازار تهران
(٪)</t>
  </si>
  <si>
    <t xml:space="preserve">ضریب ارزی A
(کمکی)</t>
  </si>
  <si>
    <t xml:space="preserve">ثابت ریالی B
(کمکی)</t>
  </si>
  <si>
    <t xml:space="preserve">سود در دسترس
(کمکی)</t>
  </si>
  <si>
    <t xml:space="preserve">کرم پودر (۳۰ میلی‌لیتر)</t>
  </si>
  <si>
    <t xml:space="preserve">رژ لب مایع</t>
  </si>
  <si>
    <t xml:space="preserve">پالت سایه چشم</t>
  </si>
  <si>
    <t xml:space="preserve">سرم ویتامین ث (۳۰ میلی‌لیتر)</t>
  </si>
  <si>
    <t xml:space="preserve">ریمل حجم‌دهنده</t>
  </si>
  <si>
    <t xml:space="preserve">جمع</t>
  </si>
  <si>
    <t xml:space="preserve">ستون‌های «کمکی» (AE تا AG) برای حل معادله نرخ سربه‌سر لازم‌اند: بهای تمام‌شده = A×نرخ درهم + B. می‌توانید آن‌ها را پنهان کنید اما حذف نکنید.</t>
  </si>
  <si>
    <t xml:space="preserve">خلاصه محموله</t>
  </si>
  <si>
    <t xml:space="preserve">سرمایه و حجم</t>
  </si>
  <si>
    <t xml:space="preserve">ریال</t>
  </si>
  <si>
    <t xml:space="preserve">تومان</t>
  </si>
  <si>
    <t xml:space="preserve">ارزش خرید از دبی (درهم)</t>
  </si>
  <si>
    <t xml:space="preserve">قیمت خرید × تعداد، جمع همه کالاها</t>
  </si>
  <si>
    <t xml:space="preserve">وزن کل محموله (کیلوگرم)</t>
  </si>
  <si>
    <t xml:space="preserve">بهای تمام‌شده کالا (بدون VAT)</t>
  </si>
  <si>
    <t xml:space="preserve">کالا + کرایه + بیمه + حقوق ورودی + حمل داخلی + ترخیص + جانبی</t>
  </si>
  <si>
    <t xml:space="preserve">ارزش افزوده گمرک</t>
  </si>
  <si>
    <t xml:space="preserve">اگر مؤدی ثبت‌نام‌شده باشید با VAT فروش تهاتر می‌شود</t>
  </si>
  <si>
    <t xml:space="preserve">کل وجه پرداختی (سرمایه لازم)</t>
  </si>
  <si>
    <t xml:space="preserve">نقدینگی‌ای که باید تأمین شود</t>
  </si>
  <si>
    <t xml:space="preserve">فروش و سود</t>
  </si>
  <si>
    <t xml:space="preserve">فروش خالص (بدون VAT)</t>
  </si>
  <si>
    <t xml:space="preserve">سود ناخالص</t>
  </si>
  <si>
    <t xml:space="preserve">پس از کسر بهای تمام‌شده و هزینه فروش</t>
  </si>
  <si>
    <t xml:space="preserve">حاشیه سود کل</t>
  </si>
  <si>
    <t xml:space="preserve">سود ÷ فروش خالص</t>
  </si>
  <si>
    <t xml:space="preserve">بازده سرمایه (ROI)</t>
  </si>
  <si>
    <t xml:space="preserve">سود ÷ بهای تمام‌شده</t>
  </si>
  <si>
    <t xml:space="preserve">میانگین روز درگیری سرمایه</t>
  </si>
  <si>
    <t xml:space="preserve">میانگین وزنی بر مبنای سرمایه هر کالا</t>
  </si>
  <si>
    <t xml:space="preserve">بازده سالانه‌شده</t>
  </si>
  <si>
    <t xml:space="preserve">بازده × ۳۶۵ ÷ روز. فرض می‌کند سرمایه بلافاصله دوباره به کار می‌افتد.</t>
  </si>
  <si>
    <t xml:space="preserve">ریسک ارزی</t>
  </si>
  <si>
    <t xml:space="preserve">نرخ درهم سربه‌سر کل سبد (ریال)</t>
  </si>
  <si>
    <t xml:space="preserve">بالاتر از این نرخ، کل محموله با قیمت‌های فروش فعلی زیان‌ده می‌شود.</t>
  </si>
  <si>
    <t xml:space="preserve">نرخ درهم امروز (ریال)</t>
  </si>
  <si>
    <t xml:space="preserve">حاشیه امنیت ارزی</t>
  </si>
  <si>
    <t xml:space="preserve">ریال تا این درصد می‌تواند بی‌ارزش شود و هنوز ضرر نکنید.</t>
  </si>
  <si>
    <t xml:space="preserve">اثر تغییر نرخ از روز خرید تا امروز</t>
  </si>
  <si>
    <t xml:space="preserve">اگر همین محموله را امروز دوباره بخرید، این مبلغ گران‌تر تمام می‌شود.</t>
  </si>
  <si>
    <t xml:space="preserve">سود واقعی پس از جایگزینی محموله</t>
  </si>
  <si>
    <t xml:space="preserve">سودی که واقعاً قابل برداشت است، نه سود دفتری.</t>
  </si>
  <si>
    <t xml:space="preserve">حساسیت سود به نرخ درهم</t>
  </si>
  <si>
    <t xml:space="preserve">تغییر نرخ</t>
  </si>
  <si>
    <t xml:space="preserve">نرخ درهم (ریال)</t>
  </si>
  <si>
    <t xml:space="preserve">بهای تمام‌شده کل (ریال)</t>
  </si>
  <si>
    <t xml:space="preserve">سود کل (ریال)</t>
  </si>
  <si>
    <t xml:space="preserve">حاشیه سود</t>
  </si>
  <si>
    <t xml:space="preserve">توجه: «بازده سالانه‌شده» فرض می‌کند سرمایه بلافاصله در محموله بعدی به کار می‌افتد. در عمل فاصله بین محموله‌ها این عدد را کم می‌کند.</t>
  </si>
  <si>
    <t xml:space="preserve">همه اعداد بر پایه نرخ ارز شیت «پارامترها» است. پیش از هر تصمیم، نرخ روز و تعرفه گمرکی را تأیید کنید.</t>
  </si>
  <si>
    <t xml:space="preserve">راهنمای استفاده</t>
  </si>
  <si>
    <t xml:space="preserve">۱ — نرخ ارز را وارد کنید</t>
  </si>
  <si>
    <t xml:space="preserve">در شیت «پارامترها» سلول B6 (درهم → ریال) را با نرخ بازار آزاد روز پر کنید. همه محاسبات از همین‌جا می‌آید.</t>
  </si>
  <si>
    <t xml:space="preserve">کرایه، بیمه، حقوق ورودی، حمل داخلی و هزینه‌های ترخیص را وارد کنید. این‌ها برای کل محموله مشترک‌اند.</t>
  </si>
  <si>
    <t xml:space="preserve">۳ — کالاها را ثبت کنید</t>
  </si>
  <si>
    <t xml:space="preserve">در شیت «کالاها» ستون‌های A تا I (زمینه زرد) را پر کنید. تا ۲۵ کالا آماده است؛ ردیف‌های خالی نادیده گرفته می‌شوند.</t>
  </si>
  <si>
    <t xml:space="preserve">۴ — نتیجه را بخوانید</t>
  </si>
  <si>
    <t xml:space="preserve">ستون T بهای تمام‌شده هر واحد، ستون X حاشیه سود و ستون AA نرخ درهمی است که در آن آن کالا سربه‌سر می‌شود.</t>
  </si>
  <si>
    <t xml:space="preserve">۵ — خلاصه</t>
  </si>
  <si>
    <t xml:space="preserve">شیت «خلاصه» سرمایه لازم، سود، بازده و ریسک ارزی کل محموله را نشان می‌دهد.</t>
  </si>
  <si>
    <t xml:space="preserve">مسیر هزینه</t>
  </si>
  <si>
    <t xml:space="preserve">دبی (خرید به درهم) ← حمل دریایی ← بندرعباس ← گمرک (حقوق ورودی + ارزش افزوده) ← حمل جاده‌ای ← تهران</t>
  </si>
  <si>
    <t xml:space="preserve">بهای تمام‌شده چیست؟</t>
  </si>
  <si>
    <t xml:space="preserve">کالا + کرایه دریایی + بیمه + حقوق ورودی گمرک + حمل داخلی + سهم ترخیص و هزینه‌های مقطوع + هزینه‌های جانبی.</t>
  </si>
  <si>
    <t xml:space="preserve">سرشکن‌کردن</t>
  </si>
  <si>
    <t xml:space="preserve">هزینه‌های مقطوع (ترخیص، انبارداری، مجوز) بر مبنای وزن یا ارزش بین کالاها تقسیم می‌شود — در سلول B20 انتخاب کنید.</t>
  </si>
  <si>
    <t xml:space="preserve">ارزش افزوده</t>
  </si>
  <si>
    <t xml:space="preserve">قیمت فروش را «با ارزش افزوده» وارد کنید؛ فایل خودش آن را کنار می‌گذارد تا سود واقعی به دست آید.</t>
  </si>
  <si>
    <t xml:space="preserve">نرخ درهم سربه‌سر</t>
  </si>
  <si>
    <t xml:space="preserve">چون بخشی از هزینه‌ها ارزی و بخشی ریالی است، بهای تمام‌شده به‌صورت خطی به نرخ درهم وابسته است: بهای تمام‌شده = A×نرخ + B. حل این معادله نرخی را می‌دهد که در آن سود صفر می‌شود.</t>
  </si>
  <si>
    <t xml:space="preserve">سود دفتری با نرخ روز خرید حساب می‌شود، اما محموله بعدی را با نرخ امروز می‌خرید. شیت «خلاصه» تفاوت این دو را نشان می‌دهد — همان چیزی که در تورم ارزی سرمایه را می‌خورد.</t>
  </si>
  <si>
    <t xml:space="preserve">هشدار</t>
  </si>
  <si>
    <t xml:space="preserve">همه اعداد پیش‌فرض نمونه‌اند. نرخ ارز را از صرافی و درصد حقوق ورودی را از ترخیص‌کار خود بگیرید.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</si>
</sst>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000"/>
    <numFmt numFmtId="167" formatCode="#,##0.00;\(#,##0.00\);\-"/>
    <numFmt numFmtId="168" formatCode="0.0%;\(0.0%\);\-"/>
    <numFmt numFmtId="169" formatCode="#,##0.0;\(#,##0.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ahoma"/>
      <family val="0"/>
      <charset val="1"/>
    </font>
    <font>
      <sz val="8.5"/>
      <color rgb="FF595959"/>
      <name val="Tahoma"/>
      <family val="0"/>
      <charset val="1"/>
    </font>
    <font>
      <b val="true"/>
      <sz val="11"/>
      <color rgb="FF1F3864"/>
      <name val="Tahoma"/>
      <family val="0"/>
      <charset val="1"/>
    </font>
    <font>
      <sz val="10"/>
      <color rgb="FF000000"/>
      <name val="Tahoma"/>
      <family val="0"/>
      <charset val="1"/>
    </font>
    <font>
      <sz val="10"/>
      <color rgb="FF0000FF"/>
      <name val="Tahoma"/>
      <family val="0"/>
      <charset val="1"/>
    </font>
    <font>
      <sz val="10"/>
      <color rgb="FF008000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1150000</v>
      </c>
      <c r="C5" s="2" t="s">
        <v>4</v>
      </c>
    </row>
    <row r="6" customFormat="false" ht="15" hidden="false" customHeight="false" outlineLevel="0" collapsed="false">
      <c r="A6" s="4" t="s">
        <v>5</v>
      </c>
      <c r="B6" s="5" t="n">
        <v>313138</v>
      </c>
      <c r="C6" s="2" t="s">
        <v>6</v>
      </c>
    </row>
    <row r="7" customFormat="false" ht="15" hidden="false" customHeight="false" outlineLevel="0" collapsed="false">
      <c r="A7" s="4" t="s">
        <v>7</v>
      </c>
      <c r="B7" s="6" t="n">
        <v>3.6725</v>
      </c>
      <c r="C7" s="2" t="s">
        <v>8</v>
      </c>
    </row>
    <row r="8" customFormat="false" ht="15" hidden="false" customHeight="false" outlineLevel="0" collapsed="false">
      <c r="A8" s="4" t="s">
        <v>9</v>
      </c>
      <c r="B8" s="7" t="n">
        <f aca="false">پارامترها!$B$5/پارامترها!$B$7</f>
        <v>313138.189244384</v>
      </c>
      <c r="C8" s="2" t="s">
        <v>10</v>
      </c>
    </row>
    <row r="9" customFormat="false" ht="15" hidden="false" customHeight="false" outlineLevel="0" collapsed="false">
      <c r="A9" s="4" t="s">
        <v>11</v>
      </c>
      <c r="B9" s="5" t="n">
        <v>313138</v>
      </c>
      <c r="C9" s="2" t="s">
        <v>12</v>
      </c>
    </row>
    <row r="10" customFormat="false" ht="15" hidden="false" customHeight="false" outlineLevel="0" collapsed="false">
      <c r="A10" s="4" t="s">
        <v>13</v>
      </c>
      <c r="B10" s="8" t="s">
        <v>14</v>
      </c>
      <c r="C10" s="2" t="s">
        <v>15</v>
      </c>
    </row>
    <row r="12" customFormat="false" ht="15" hidden="false" customHeight="false" outlineLevel="0" collapsed="false">
      <c r="A12" s="3" t="s">
        <v>16</v>
      </c>
    </row>
    <row r="13" customFormat="false" ht="15" hidden="false" customHeight="false" outlineLevel="0" collapsed="false">
      <c r="A13" s="4" t="s">
        <v>17</v>
      </c>
      <c r="B13" s="9" t="n">
        <v>2.5</v>
      </c>
      <c r="C13" s="2" t="s">
        <v>18</v>
      </c>
    </row>
    <row r="14" customFormat="false" ht="15" hidden="false" customHeight="false" outlineLevel="0" collapsed="false">
      <c r="A14" s="4" t="s">
        <v>19</v>
      </c>
      <c r="B14" s="10" t="n">
        <v>0.005</v>
      </c>
    </row>
    <row r="15" customFormat="false" ht="15" hidden="false" customHeight="false" outlineLevel="0" collapsed="false">
      <c r="A15" s="4" t="s">
        <v>20</v>
      </c>
      <c r="B15" s="10" t="n">
        <v>0.4</v>
      </c>
      <c r="C15" s="2" t="s">
        <v>21</v>
      </c>
    </row>
    <row r="16" customFormat="false" ht="15" hidden="false" customHeight="false" outlineLevel="0" collapsed="false">
      <c r="A16" s="4" t="s">
        <v>22</v>
      </c>
      <c r="B16" s="5" t="n">
        <v>120000</v>
      </c>
    </row>
    <row r="17" customFormat="false" ht="15" hidden="false" customHeight="false" outlineLevel="0" collapsed="false">
      <c r="A17" s="4" t="s">
        <v>23</v>
      </c>
      <c r="B17" s="5" t="n">
        <v>900000000</v>
      </c>
    </row>
    <row r="18" customFormat="false" ht="15" hidden="false" customHeight="false" outlineLevel="0" collapsed="false">
      <c r="A18" s="4" t="s">
        <v>24</v>
      </c>
      <c r="B18" s="5" t="n">
        <v>450000000</v>
      </c>
      <c r="C18" s="2" t="s">
        <v>25</v>
      </c>
    </row>
    <row r="19" customFormat="false" ht="15" hidden="false" customHeight="false" outlineLevel="0" collapsed="false">
      <c r="A19" s="4" t="s">
        <v>26</v>
      </c>
      <c r="B19" s="7" t="n">
        <f aca="false">پارامترها!$B$17+پارامترها!$B$18</f>
        <v>1350000000</v>
      </c>
      <c r="C19" s="2" t="s">
        <v>27</v>
      </c>
    </row>
    <row r="20" customFormat="false" ht="15" hidden="false" customHeight="false" outlineLevel="0" collapsed="false">
      <c r="A20" s="4" t="s">
        <v>28</v>
      </c>
      <c r="B20" s="8" t="s">
        <v>29</v>
      </c>
      <c r="C20" s="2" t="s">
        <v>30</v>
      </c>
    </row>
    <row r="21" customFormat="false" ht="15" hidden="false" customHeight="false" outlineLevel="0" collapsed="false">
      <c r="A21" s="4" t="s">
        <v>31</v>
      </c>
      <c r="B21" s="10" t="n">
        <v>0.1</v>
      </c>
    </row>
    <row r="22" customFormat="false" ht="15" hidden="false" customHeight="false" outlineLevel="0" collapsed="false">
      <c r="A22" s="4" t="s">
        <v>32</v>
      </c>
      <c r="B22" s="8" t="s">
        <v>33</v>
      </c>
      <c r="C22" s="2" t="s">
        <v>34</v>
      </c>
    </row>
    <row r="24" customFormat="false" ht="15" hidden="false" customHeight="false" outlineLevel="0" collapsed="false">
      <c r="A24" s="3" t="s">
        <v>35</v>
      </c>
    </row>
    <row r="25" customFormat="false" ht="15" hidden="false" customHeight="false" outlineLevel="0" collapsed="false">
      <c r="A25" s="11" t="s">
        <v>36</v>
      </c>
    </row>
    <row r="26" customFormat="false" ht="15" hidden="false" customHeight="false" outlineLevel="0" collapsed="false">
      <c r="A26" s="4" t="s">
        <v>37</v>
      </c>
    </row>
    <row r="27" customFormat="false" ht="15" hidden="false" customHeight="false" outlineLevel="0" collapsed="false">
      <c r="A27" s="12" t="s">
        <v>38</v>
      </c>
    </row>
    <row r="29" customFormat="false" ht="15" hidden="false" customHeight="false" outlineLevel="0" collapsed="false">
      <c r="A29" s="3" t="s">
        <v>39</v>
      </c>
    </row>
    <row r="30" customFormat="false" ht="15" hidden="false" customHeight="false" outlineLevel="0" collapsed="false">
      <c r="A30" s="2" t="s">
        <v>40</v>
      </c>
    </row>
    <row r="31" customFormat="false" ht="15" hidden="false" customHeight="false" outlineLevel="0" collapsed="false">
      <c r="A31" s="2" t="s">
        <v>41</v>
      </c>
    </row>
    <row r="32" customFormat="false" ht="15" hidden="false" customHeight="false" outlineLevel="0" collapsed="false">
      <c r="A32" s="2" t="s">
        <v>42</v>
      </c>
    </row>
  </sheetData>
  <dataValidations count="2">
    <dataValidation allowBlank="false" errorStyle="stop" operator="between" showDropDown="false" showErrorMessage="false" showInputMessage="false" sqref="B20" type="list">
      <formula1>"وزن,ارزش"</formula1>
      <formula2>0</formula2>
    </dataValidation>
    <dataValidation allowBlank="false" errorStyle="stop" operator="between" showDropDown="false" showErrorMessage="false" showInputMessage="false" sqref="B22" type="list">
      <formula1>"بله,خیر"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7" min="6" style="0" width="17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3" style="0" width="16"/>
    <col collapsed="false" customWidth="true" hidden="false" outlineLevel="0" max="15" min="15" style="0" width="14"/>
    <col collapsed="false" customWidth="true" hidden="false" outlineLevel="0" max="16" min="16" style="0" width="17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20" min="19" style="0" width="17"/>
    <col collapsed="false" customWidth="true" hidden="false" outlineLevel="0" max="21" min="21" style="0" width="16"/>
    <col collapsed="false" customWidth="true" hidden="false" outlineLevel="0" max="22" min="22" style="0" width="15"/>
    <col collapsed="false" customWidth="true" hidden="false" outlineLevel="0" max="23" min="23" style="0" width="14"/>
    <col collapsed="false" customWidth="true" hidden="false" outlineLevel="0" max="24" min="24" style="0" width="11"/>
    <col collapsed="false" customWidth="true" hidden="false" outlineLevel="0" max="26" min="25" style="0" width="16"/>
    <col collapsed="false" customWidth="true" hidden="false" outlineLevel="0" max="27" min="27" style="0" width="15"/>
    <col collapsed="false" customWidth="true" hidden="false" outlineLevel="0" max="28" min="28" style="0" width="14"/>
    <col collapsed="false" customWidth="true" hidden="false" outlineLevel="0" max="29" min="29" style="0" width="13"/>
    <col collapsed="false" customWidth="true" hidden="false" outlineLevel="0" max="30" min="30" style="0" width="15"/>
    <col collapsed="false" customWidth="true" hidden="false" outlineLevel="0" max="31" min="31" style="0" width="14"/>
    <col collapsed="false" customWidth="true" hidden="false" outlineLevel="0" max="33" min="32" style="0" width="16"/>
  </cols>
  <sheetData>
    <row r="1" customFormat="false" ht="16.1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42" hidden="false" customHeight="true" outlineLevel="0" collapsed="false">
      <c r="A4" s="13" t="s">
        <v>45</v>
      </c>
      <c r="B4" s="13" t="s">
        <v>46</v>
      </c>
      <c r="C4" s="13" t="s">
        <v>47</v>
      </c>
      <c r="D4" s="13" t="s">
        <v>48</v>
      </c>
      <c r="E4" s="13" t="s">
        <v>49</v>
      </c>
      <c r="F4" s="13" t="s">
        <v>50</v>
      </c>
      <c r="G4" s="13" t="s">
        <v>51</v>
      </c>
      <c r="H4" s="13" t="s">
        <v>52</v>
      </c>
      <c r="I4" s="13" t="s">
        <v>53</v>
      </c>
      <c r="J4" s="13" t="s">
        <v>54</v>
      </c>
      <c r="K4" s="13" t="s">
        <v>55</v>
      </c>
      <c r="L4" s="13" t="s">
        <v>56</v>
      </c>
      <c r="M4" s="13" t="s">
        <v>57</v>
      </c>
      <c r="N4" s="13" t="s">
        <v>58</v>
      </c>
      <c r="O4" s="13" t="s">
        <v>59</v>
      </c>
      <c r="P4" s="13" t="s">
        <v>60</v>
      </c>
      <c r="Q4" s="13" t="s">
        <v>61</v>
      </c>
      <c r="R4" s="13" t="s">
        <v>62</v>
      </c>
      <c r="S4" s="13" t="s">
        <v>63</v>
      </c>
      <c r="T4" s="13" t="s">
        <v>64</v>
      </c>
      <c r="U4" s="13" t="s">
        <v>65</v>
      </c>
      <c r="V4" s="13" t="s">
        <v>66</v>
      </c>
      <c r="W4" s="13" t="s">
        <v>67</v>
      </c>
      <c r="X4" s="13" t="s">
        <v>68</v>
      </c>
      <c r="Y4" s="13" t="s">
        <v>69</v>
      </c>
      <c r="Z4" s="13" t="s">
        <v>70</v>
      </c>
      <c r="AA4" s="13" t="s">
        <v>71</v>
      </c>
      <c r="AB4" s="13" t="s">
        <v>72</v>
      </c>
      <c r="AC4" s="13" t="s">
        <v>73</v>
      </c>
      <c r="AD4" s="13" t="s">
        <v>74</v>
      </c>
      <c r="AE4" s="13" t="s">
        <v>75</v>
      </c>
      <c r="AF4" s="13" t="s">
        <v>76</v>
      </c>
      <c r="AG4" s="13" t="s">
        <v>77</v>
      </c>
    </row>
    <row r="5" customFormat="false" ht="15" hidden="false" customHeight="false" outlineLevel="0" collapsed="false">
      <c r="A5" s="8" t="s">
        <v>78</v>
      </c>
      <c r="B5" s="9" t="n">
        <v>32</v>
      </c>
      <c r="C5" s="5" t="n">
        <v>600</v>
      </c>
      <c r="D5" s="14" t="n">
        <v>42</v>
      </c>
      <c r="E5" s="5" t="n">
        <v>400000</v>
      </c>
      <c r="F5" s="5" t="n">
        <v>40600000</v>
      </c>
      <c r="G5" s="5" t="n">
        <v>37600000</v>
      </c>
      <c r="H5" s="10" t="n">
        <v>0.12</v>
      </c>
      <c r="I5" s="5" t="n">
        <v>75</v>
      </c>
      <c r="J5" s="7" t="n">
        <f aca="false">IF($A5="","",$B5*$C5*پارامترها!$B$6)</f>
        <v>6012249600</v>
      </c>
      <c r="K5" s="7" t="n">
        <f aca="false">IF($A5="","",$D5*پارامترها!$B$13*پارامترها!$B$6)</f>
        <v>32879490</v>
      </c>
      <c r="L5" s="7" t="n">
        <f aca="false">IF($A5="","",$J5*پارامترها!$B$14)</f>
        <v>30061248</v>
      </c>
      <c r="M5" s="7" t="n">
        <f aca="false">IF($A5="","",$J5+$K5+$L5)</f>
        <v>6075190338</v>
      </c>
      <c r="N5" s="7" t="n">
        <f aca="false">IF($A5="","",$M5*پارامترها!$B$15)</f>
        <v>2430076135.2</v>
      </c>
      <c r="O5" s="7" t="n">
        <f aca="false">IF($A5="","",$D5*پارامترها!$B$16)</f>
        <v>5040000</v>
      </c>
      <c r="P5" s="7" t="n">
        <f aca="false">IF($A5="","",پارامترها!$B$19*IF(پارامترها!$B$20="وزن",IF(SUM($D$5:$D$29)=0,0,$D5/SUM($D$5:$D$29)),IF(SUMPRODUCT($B$5:$B$29,$C$5:$C$29)=0,0,$B5*$C5/SUMPRODUCT($B$5:$B$29,$C$5:$C$29))))</f>
        <v>333529411.764706</v>
      </c>
      <c r="Q5" s="7" t="n">
        <f aca="false">IF($A5="","",$E5*$C5)</f>
        <v>240000000</v>
      </c>
      <c r="R5" s="7" t="n">
        <f aca="false">IF($A5="","",($M5+$N5)*پارامترها!$B$21)</f>
        <v>850526647.32</v>
      </c>
      <c r="S5" s="7" t="n">
        <f aca="false">IF($A5="","",$J5+$K5+$L5+$N5+$O5+$P5+$Q5+IF(پارامترها!$B$22="بله",$R5,0))</f>
        <v>9083835884.96471</v>
      </c>
      <c r="T5" s="7" t="n">
        <f aca="false">IF($A5="","",IF($C5=0,0,$S5/$C5))</f>
        <v>15139726.4749412</v>
      </c>
      <c r="U5" s="7" t="n">
        <f aca="false">IF($A5="","",$G5/(1+پارامترها!$B$21))</f>
        <v>34181818.1818182</v>
      </c>
      <c r="V5" s="7" t="n">
        <f aca="false">IF($A5="","",$U5*$H5)</f>
        <v>4101818.18181818</v>
      </c>
      <c r="W5" s="7" t="n">
        <f aca="false">IF($A5="","",$U5-$T5-$V5)</f>
        <v>14940273.5250588</v>
      </c>
      <c r="X5" s="15" t="n">
        <f aca="false">IF($A5="","",IF($U5=0,0,$W5/$U5))</f>
        <v>0.437082470147997</v>
      </c>
      <c r="Y5" s="7" t="n">
        <f aca="false">IF($A5="","",$W5*$C5)</f>
        <v>8964164115.03529</v>
      </c>
      <c r="Z5" s="7" t="n">
        <f aca="false">IF($A5="","",IF($H5&gt;=1,0,$T5/(1-$H5)*(1+پارامترها!$B$21)))</f>
        <v>18924658.0936765</v>
      </c>
      <c r="AA5" s="7" t="n">
        <f aca="false">IF($A5="","",IF($AE5=0,0,($AG5-$AF5)/$AE5))</f>
        <v>643171.21312728</v>
      </c>
      <c r="AB5" s="15" t="n">
        <f aca="false">IF($A5="","",IF(پارامترها!$B$6=0,0,($AA5-پارامترها!$B$6)/پارامترها!$B$6))</f>
        <v>1.05395452844203</v>
      </c>
      <c r="AC5" s="15" t="n">
        <f aca="false">IF($A5="","",IF(OR($S5=0,$I5=0),0,$Y5/$S5*365/$I5))</f>
        <v>4.80255249496301</v>
      </c>
      <c r="AD5" s="15" t="n">
        <f aca="false">IF($A5="","",IF($F5=0,0,($G5-$F5)/$F5))</f>
        <v>-0.0738916256157636</v>
      </c>
      <c r="AE5" s="7" t="n">
        <f aca="false">IF($A5="","",($B5*$C5*(1+پارامترها!$B$14)+$D5*پارامترها!$B$13)*(1+پارامترها!$B$15)*IF(پارامترها!$B$22="بله",1+پارامترها!$B$21,1))</f>
        <v>27161.4</v>
      </c>
      <c r="AF5" s="7" t="n">
        <f aca="false">IF($A5="","",$O5+$P5+$Q5)</f>
        <v>578569411.764706</v>
      </c>
      <c r="AG5" s="7" t="n">
        <f aca="false">IF($A5="","",($U5-$V5)*$C5)</f>
        <v>18048000000</v>
      </c>
    </row>
    <row r="6" customFormat="false" ht="15" hidden="false" customHeight="false" outlineLevel="0" collapsed="false">
      <c r="A6" s="8" t="s">
        <v>79</v>
      </c>
      <c r="B6" s="9" t="n">
        <v>14</v>
      </c>
      <c r="C6" s="5" t="n">
        <v>1200</v>
      </c>
      <c r="D6" s="14" t="n">
        <v>30</v>
      </c>
      <c r="E6" s="5" t="n">
        <v>250000</v>
      </c>
      <c r="F6" s="5" t="n">
        <v>17700000</v>
      </c>
      <c r="G6" s="5" t="n">
        <v>16400000</v>
      </c>
      <c r="H6" s="10" t="n">
        <v>0.12</v>
      </c>
      <c r="I6" s="5" t="n">
        <v>60</v>
      </c>
      <c r="J6" s="7" t="n">
        <f aca="false">IF($A6="","",$B6*$C6*پارامترها!$B$6)</f>
        <v>5260718400</v>
      </c>
      <c r="K6" s="7" t="n">
        <f aca="false">IF($A6="","",$D6*پارامترها!$B$13*پارامترها!$B$6)</f>
        <v>23485350</v>
      </c>
      <c r="L6" s="7" t="n">
        <f aca="false">IF($A6="","",$J6*پارامترها!$B$14)</f>
        <v>26303592</v>
      </c>
      <c r="M6" s="7" t="n">
        <f aca="false">IF($A6="","",$J6+$K6+$L6)</f>
        <v>5310507342</v>
      </c>
      <c r="N6" s="7" t="n">
        <f aca="false">IF($A6="","",$M6*پارامترها!$B$15)</f>
        <v>2124202936.8</v>
      </c>
      <c r="O6" s="7" t="n">
        <f aca="false">IF($A6="","",$D6*پارامترها!$B$16)</f>
        <v>3600000</v>
      </c>
      <c r="P6" s="7" t="n">
        <f aca="false">IF($A6="","",پارامترها!$B$19*IF(پارامترها!$B$20="وزن",IF(SUM($D$5:$D$29)=0,0,$D6/SUM($D$5:$D$29)),IF(SUMPRODUCT($B$5:$B$29,$C$5:$C$29)=0,0,$B6*$C6/SUMPRODUCT($B$5:$B$29,$C$5:$C$29))))</f>
        <v>238235294.117647</v>
      </c>
      <c r="Q6" s="7" t="n">
        <f aca="false">IF($A6="","",$E6*$C6)</f>
        <v>300000000</v>
      </c>
      <c r="R6" s="7" t="n">
        <f aca="false">IF($A6="","",($M6+$N6)*پارامترها!$B$21)</f>
        <v>743471027.88</v>
      </c>
      <c r="S6" s="7" t="n">
        <f aca="false">IF($A6="","",$J6+$K6+$L6+$N6+$O6+$P6+$Q6+IF(پارامترها!$B$22="بله",$R6,0))</f>
        <v>7976545572.91765</v>
      </c>
      <c r="T6" s="7" t="n">
        <f aca="false">IF($A6="","",IF($C6=0,0,$S6/$C6))</f>
        <v>6647121.31076471</v>
      </c>
      <c r="U6" s="7" t="n">
        <f aca="false">IF($A6="","",$G6/(1+پارامترها!$B$21))</f>
        <v>14909090.9090909</v>
      </c>
      <c r="V6" s="7" t="n">
        <f aca="false">IF($A6="","",$U6*$H6)</f>
        <v>1789090.90909091</v>
      </c>
      <c r="W6" s="7" t="n">
        <f aca="false">IF($A6="","",$U6-$T6-$V6)</f>
        <v>6472878.68923529</v>
      </c>
      <c r="X6" s="15" t="n">
        <f aca="false">IF($A6="","",IF($U6=0,0,$W6/$U6))</f>
        <v>0.434156497448709</v>
      </c>
      <c r="Y6" s="7" t="n">
        <f aca="false">IF($A6="","",$W6*$C6)</f>
        <v>7767454427.08235</v>
      </c>
      <c r="Z6" s="7" t="n">
        <f aca="false">IF($A6="","",IF($H6&gt;=1,0,$T6/(1-$H6)*(1+پارامترها!$B$21)))</f>
        <v>8308901.63845588</v>
      </c>
      <c r="AA6" s="7" t="n">
        <f aca="false">IF($A6="","",IF($AE6=0,0,($AG6-$AF6)/$AE6))</f>
        <v>640290.646596512</v>
      </c>
      <c r="AB6" s="15" t="n">
        <f aca="false">IF($A6="","",IF(پارامترها!$B$6=0,0,($AA6-پارامترها!$B$6)/پارامترها!$B$6))</f>
        <v>1.04475549628762</v>
      </c>
      <c r="AC6" s="15" t="n">
        <f aca="false">IF($A6="","",IF(OR($S6=0,$I6=0),0,$Y6/$S6*365/$I6))</f>
        <v>5.92386942435958</v>
      </c>
      <c r="AD6" s="15" t="n">
        <f aca="false">IF($A6="","",IF($F6=0,0,($G6-$F6)/$F6))</f>
        <v>-0.0734463276836158</v>
      </c>
      <c r="AE6" s="7" t="n">
        <f aca="false">IF($A6="","",($B6*$C6*(1+پارامترها!$B$14)+$D6*پارامترها!$B$13)*(1+پارامترها!$B$15)*IF(پارامترها!$B$22="بله",1+پارامترها!$B$21,1))</f>
        <v>23742.6</v>
      </c>
      <c r="AF6" s="7" t="n">
        <f aca="false">IF($A6="","",$O6+$P6+$Q6)</f>
        <v>541835294.117647</v>
      </c>
      <c r="AG6" s="7" t="n">
        <f aca="false">IF($A6="","",($U6-$V6)*$C6)</f>
        <v>15744000000</v>
      </c>
    </row>
    <row r="7" customFormat="false" ht="15" hidden="false" customHeight="false" outlineLevel="0" collapsed="false">
      <c r="A7" s="8" t="s">
        <v>80</v>
      </c>
      <c r="B7" s="9" t="n">
        <v>48</v>
      </c>
      <c r="C7" s="5" t="n">
        <v>300</v>
      </c>
      <c r="D7" s="14" t="n">
        <v>39</v>
      </c>
      <c r="E7" s="5" t="n">
        <v>500000</v>
      </c>
      <c r="F7" s="5" t="n">
        <v>61500000</v>
      </c>
      <c r="G7" s="5" t="n">
        <v>56900000</v>
      </c>
      <c r="H7" s="10" t="n">
        <v>0.15</v>
      </c>
      <c r="I7" s="5" t="n">
        <v>110</v>
      </c>
      <c r="J7" s="7" t="n">
        <f aca="false">IF($A7="","",$B7*$C7*پارامترها!$B$6)</f>
        <v>4509187200</v>
      </c>
      <c r="K7" s="7" t="n">
        <f aca="false">IF($A7="","",$D7*پارامترها!$B$13*پارامترها!$B$6)</f>
        <v>30530955</v>
      </c>
      <c r="L7" s="7" t="n">
        <f aca="false">IF($A7="","",$J7*پارامترها!$B$14)</f>
        <v>22545936</v>
      </c>
      <c r="M7" s="7" t="n">
        <f aca="false">IF($A7="","",$J7+$K7+$L7)</f>
        <v>4562264091</v>
      </c>
      <c r="N7" s="7" t="n">
        <f aca="false">IF($A7="","",$M7*پارامترها!$B$15)</f>
        <v>1824905636.4</v>
      </c>
      <c r="O7" s="7" t="n">
        <f aca="false">IF($A7="","",$D7*پارامترها!$B$16)</f>
        <v>4680000</v>
      </c>
      <c r="P7" s="7" t="n">
        <f aca="false">IF($A7="","",پارامترها!$B$19*IF(پارامترها!$B$20="وزن",IF(SUM($D$5:$D$29)=0,0,$D7/SUM($D$5:$D$29)),IF(SUMPRODUCT($B$5:$B$29,$C$5:$C$29)=0,0,$B7*$C7/SUMPRODUCT($B$5:$B$29,$C$5:$C$29))))</f>
        <v>309705882.352941</v>
      </c>
      <c r="Q7" s="7" t="n">
        <f aca="false">IF($A7="","",$E7*$C7)</f>
        <v>150000000</v>
      </c>
      <c r="R7" s="7" t="n">
        <f aca="false">IF($A7="","",($M7+$N7)*پارامترها!$B$21)</f>
        <v>638716972.74</v>
      </c>
      <c r="S7" s="7" t="n">
        <f aca="false">IF($A7="","",$J7+$K7+$L7+$N7+$O7+$P7+$Q7+IF(پارامترها!$B$22="بله",$R7,0))</f>
        <v>6851555609.75294</v>
      </c>
      <c r="T7" s="7" t="n">
        <f aca="false">IF($A7="","",IF($C7=0,0,$S7/$C7))</f>
        <v>22838518.6991765</v>
      </c>
      <c r="U7" s="7" t="n">
        <f aca="false">IF($A7="","",$G7/(1+پارامترها!$B$21))</f>
        <v>51727272.7272727</v>
      </c>
      <c r="V7" s="7" t="n">
        <f aca="false">IF($A7="","",$U7*$H7)</f>
        <v>7759090.90909091</v>
      </c>
      <c r="W7" s="7" t="n">
        <f aca="false">IF($A7="","",$U7-$T7-$V7)</f>
        <v>21129663.1190053</v>
      </c>
      <c r="X7" s="15" t="n">
        <f aca="false">IF($A7="","",IF($U7=0,0,$W7/$U7))</f>
        <v>0.408482063812054</v>
      </c>
      <c r="Y7" s="7" t="n">
        <f aca="false">IF($A7="","",$W7*$C7)</f>
        <v>6338898935.7016</v>
      </c>
      <c r="Z7" s="7" t="n">
        <f aca="false">IF($A7="","",IF($H7&gt;=1,0,$T7/(1-$H7)*(1+پارامترها!$B$21)))</f>
        <v>29555730.0812872</v>
      </c>
      <c r="AA7" s="7" t="n">
        <f aca="false">IF($A7="","",IF($AE7=0,0,($AG7-$AF7)/$AE7))</f>
        <v>623909.47150366</v>
      </c>
      <c r="AB7" s="15" t="n">
        <f aca="false">IF($A7="","",IF(پارامترها!$B$6=0,0,($AA7-پارامترها!$B$6)/پارامترها!$B$6))</f>
        <v>0.992442538125875</v>
      </c>
      <c r="AC7" s="15" t="n">
        <f aca="false">IF($A7="","",IF(OR($S7=0,$I7=0),0,$Y7/$S7*365/$I7))</f>
        <v>3.06990417851919</v>
      </c>
      <c r="AD7" s="15" t="n">
        <f aca="false">IF($A7="","",IF($F7=0,0,($G7-$F7)/$F7))</f>
        <v>-0.0747967479674797</v>
      </c>
      <c r="AE7" s="7" t="n">
        <f aca="false">IF($A7="","",($B7*$C7*(1+پارامترها!$B$14)+$D7*پارامترها!$B$13)*(1+پارامترها!$B$15)*IF(پارامترها!$B$22="بله",1+پارامترها!$B$21,1))</f>
        <v>20397.3</v>
      </c>
      <c r="AF7" s="7" t="n">
        <f aca="false">IF($A7="","",$O7+$P7+$Q7)</f>
        <v>464385882.352941</v>
      </c>
      <c r="AG7" s="7" t="n">
        <f aca="false">IF($A7="","",($U7-$V7)*$C7)</f>
        <v>13190454545.4545</v>
      </c>
    </row>
    <row r="8" customFormat="false" ht="15" hidden="false" customHeight="false" outlineLevel="0" collapsed="false">
      <c r="A8" s="8" t="s">
        <v>81</v>
      </c>
      <c r="B8" s="9" t="n">
        <v>55</v>
      </c>
      <c r="C8" s="5" t="n">
        <v>400</v>
      </c>
      <c r="D8" s="14" t="n">
        <v>32</v>
      </c>
      <c r="E8" s="5" t="n">
        <v>450000</v>
      </c>
      <c r="F8" s="5" t="n">
        <v>68700000</v>
      </c>
      <c r="G8" s="5" t="n">
        <v>63600000</v>
      </c>
      <c r="H8" s="10" t="n">
        <v>0.1</v>
      </c>
      <c r="I8" s="5" t="n">
        <v>90</v>
      </c>
      <c r="J8" s="7" t="n">
        <f aca="false">IF($A8="","",$B8*$C8*پارامترها!$B$6)</f>
        <v>6889036000</v>
      </c>
      <c r="K8" s="7" t="n">
        <f aca="false">IF($A8="","",$D8*پارامترها!$B$13*پارامترها!$B$6)</f>
        <v>25051040</v>
      </c>
      <c r="L8" s="7" t="n">
        <f aca="false">IF($A8="","",$J8*پارامترها!$B$14)</f>
        <v>34445180</v>
      </c>
      <c r="M8" s="7" t="n">
        <f aca="false">IF($A8="","",$J8+$K8+$L8)</f>
        <v>6948532220</v>
      </c>
      <c r="N8" s="7" t="n">
        <f aca="false">IF($A8="","",$M8*پارامترها!$B$15)</f>
        <v>2779412888</v>
      </c>
      <c r="O8" s="7" t="n">
        <f aca="false">IF($A8="","",$D8*پارامترها!$B$16)</f>
        <v>3840000</v>
      </c>
      <c r="P8" s="7" t="n">
        <f aca="false">IF($A8="","",پارامترها!$B$19*IF(پارامترها!$B$20="وزن",IF(SUM($D$5:$D$29)=0,0,$D8/SUM($D$5:$D$29)),IF(SUMPRODUCT($B$5:$B$29,$C$5:$C$29)=0,0,$B8*$C8/SUMPRODUCT($B$5:$B$29,$C$5:$C$29))))</f>
        <v>254117647.058824</v>
      </c>
      <c r="Q8" s="7" t="n">
        <f aca="false">IF($A8="","",$E8*$C8)</f>
        <v>180000000</v>
      </c>
      <c r="R8" s="7" t="n">
        <f aca="false">IF($A8="","",($M8+$N8)*پارامترها!$B$21)</f>
        <v>972794510.8</v>
      </c>
      <c r="S8" s="7" t="n">
        <f aca="false">IF($A8="","",$J8+$K8+$L8+$N8+$O8+$P8+$Q8+IF(پارامترها!$B$22="بله",$R8,0))</f>
        <v>10165902755.0588</v>
      </c>
      <c r="T8" s="7" t="n">
        <f aca="false">IF($A8="","",IF($C8=0,0,$S8/$C8))</f>
        <v>25414756.8876471</v>
      </c>
      <c r="U8" s="7" t="n">
        <f aca="false">IF($A8="","",$G8/(1+پارامترها!$B$21))</f>
        <v>57818181.8181818</v>
      </c>
      <c r="V8" s="7" t="n">
        <f aca="false">IF($A8="","",$U8*$H8)</f>
        <v>5781818.18181818</v>
      </c>
      <c r="W8" s="7" t="n">
        <f aca="false">IF($A8="","",$U8-$T8-$V8)</f>
        <v>26621606.7487166</v>
      </c>
      <c r="X8" s="15" t="n">
        <f aca="false">IF($A8="","",IF($U8=0,0,$W8/$U8))</f>
        <v>0.460436594710507</v>
      </c>
      <c r="Y8" s="7" t="n">
        <f aca="false">IF($A8="","",$W8*$C8)</f>
        <v>10648642699.4866</v>
      </c>
      <c r="Z8" s="7" t="n">
        <f aca="false">IF($A8="","",IF($H8&gt;=1,0,$T8/(1-$H8)*(1+پارامترها!$B$21)))</f>
        <v>31062480.6404575</v>
      </c>
      <c r="AA8" s="7" t="n">
        <f aca="false">IF($A8="","",IF($AE8=0,0,($AG8-$AF8)/$AE8))</f>
        <v>655912.824550526</v>
      </c>
      <c r="AB8" s="15" t="n">
        <f aca="false">IF($A8="","",IF(پارامترها!$B$6=0,0,($AA8-پارامترها!$B$6)/پارامترها!$B$6))</f>
        <v>1.09464461212158</v>
      </c>
      <c r="AC8" s="15" t="n">
        <f aca="false">IF($A8="","",IF(OR($S8=0,$I8=0),0,$Y8/$S8*365/$I8))</f>
        <v>4.24813841914222</v>
      </c>
      <c r="AD8" s="15" t="n">
        <f aca="false">IF($A8="","",IF($F8=0,0,($G8-$F8)/$F8))</f>
        <v>-0.074235807860262</v>
      </c>
      <c r="AE8" s="7" t="n">
        <f aca="false">IF($A8="","",($B8*$C8*(1+پارامترها!$B$14)+$D8*پارامترها!$B$13)*(1+پارامترها!$B$15)*IF(پارامترها!$B$22="بله",1+پارامترها!$B$21,1))</f>
        <v>31066</v>
      </c>
      <c r="AF8" s="7" t="n">
        <f aca="false">IF($A8="","",$O8+$P8+$Q8)</f>
        <v>437957647.058824</v>
      </c>
      <c r="AG8" s="7" t="n">
        <f aca="false">IF($A8="","",($U8-$V8)*$C8)</f>
        <v>20814545454.5455</v>
      </c>
    </row>
    <row r="9" customFormat="false" ht="15" hidden="false" customHeight="false" outlineLevel="0" collapsed="false">
      <c r="A9" s="8" t="s">
        <v>82</v>
      </c>
      <c r="B9" s="9" t="n">
        <v>18</v>
      </c>
      <c r="C9" s="5" t="n">
        <v>900</v>
      </c>
      <c r="D9" s="14" t="n">
        <v>27</v>
      </c>
      <c r="E9" s="5" t="n">
        <v>300000</v>
      </c>
      <c r="F9" s="5" t="n">
        <v>22700000</v>
      </c>
      <c r="G9" s="5" t="n">
        <v>21000000</v>
      </c>
      <c r="H9" s="10" t="n">
        <v>0.12</v>
      </c>
      <c r="I9" s="5" t="n">
        <v>65</v>
      </c>
      <c r="J9" s="7" t="n">
        <f aca="false">IF($A9="","",$B9*$C9*پارامترها!$B$6)</f>
        <v>5072835600</v>
      </c>
      <c r="K9" s="7" t="n">
        <f aca="false">IF($A9="","",$D9*پارامترها!$B$13*پارامترها!$B$6)</f>
        <v>21136815</v>
      </c>
      <c r="L9" s="7" t="n">
        <f aca="false">IF($A9="","",$J9*پارامترها!$B$14)</f>
        <v>25364178</v>
      </c>
      <c r="M9" s="7" t="n">
        <f aca="false">IF($A9="","",$J9+$K9+$L9)</f>
        <v>5119336593</v>
      </c>
      <c r="N9" s="7" t="n">
        <f aca="false">IF($A9="","",$M9*پارامترها!$B$15)</f>
        <v>2047734637.2</v>
      </c>
      <c r="O9" s="7" t="n">
        <f aca="false">IF($A9="","",$D9*پارامترها!$B$16)</f>
        <v>3240000</v>
      </c>
      <c r="P9" s="7" t="n">
        <f aca="false">IF($A9="","",پارامترها!$B$19*IF(پارامترها!$B$20="وزن",IF(SUM($D$5:$D$29)=0,0,$D9/SUM($D$5:$D$29)),IF(SUMPRODUCT($B$5:$B$29,$C$5:$C$29)=0,0,$B9*$C9/SUMPRODUCT($B$5:$B$29,$C$5:$C$29))))</f>
        <v>214411764.705882</v>
      </c>
      <c r="Q9" s="7" t="n">
        <f aca="false">IF($A9="","",$E9*$C9)</f>
        <v>270000000</v>
      </c>
      <c r="R9" s="7" t="n">
        <f aca="false">IF($A9="","",($M9+$N9)*پارامترها!$B$21)</f>
        <v>716707123.02</v>
      </c>
      <c r="S9" s="7" t="n">
        <f aca="false">IF($A9="","",$J9+$K9+$L9+$N9+$O9+$P9+$Q9+IF(پارامترها!$B$22="بله",$R9,0))</f>
        <v>7654722994.90588</v>
      </c>
      <c r="T9" s="7" t="n">
        <f aca="false">IF($A9="","",IF($C9=0,0,$S9/$C9))</f>
        <v>8505247.77211765</v>
      </c>
      <c r="U9" s="7" t="n">
        <f aca="false">IF($A9="","",$G9/(1+پارامترها!$B$21))</f>
        <v>19090909.0909091</v>
      </c>
      <c r="V9" s="7" t="n">
        <f aca="false">IF($A9="","",$U9*$H9)</f>
        <v>2290909.09090909</v>
      </c>
      <c r="W9" s="7" t="n">
        <f aca="false">IF($A9="","",$U9-$T9-$V9)</f>
        <v>8294752.22788235</v>
      </c>
      <c r="X9" s="15" t="n">
        <f aca="false">IF($A9="","",IF($U9=0,0,$W9/$U9))</f>
        <v>0.434487021460504</v>
      </c>
      <c r="Y9" s="7" t="n">
        <f aca="false">IF($A9="","",$W9*$C9)</f>
        <v>7465277005.09412</v>
      </c>
      <c r="Z9" s="7" t="n">
        <f aca="false">IF($A9="","",IF($H9&gt;=1,0,$T9/(1-$H9)*(1+پارامترها!$B$21)))</f>
        <v>10631559.7151471</v>
      </c>
      <c r="AA9" s="7" t="n">
        <f aca="false">IF($A9="","",IF($AE9=0,0,($AG9-$AF9)/$AE9))</f>
        <v>639304.970543131</v>
      </c>
      <c r="AB9" s="15" t="n">
        <f aca="false">IF($A9="","",IF(پارامترها!$B$6=0,0,($AA9-پارامترها!$B$6)/پارامترها!$B$6))</f>
        <v>1.04160775933656</v>
      </c>
      <c r="AC9" s="15" t="n">
        <f aca="false">IF($A9="","",IF(OR($S9=0,$I9=0),0,$Y9/$S9*365/$I9))</f>
        <v>5.4764100114253</v>
      </c>
      <c r="AD9" s="15" t="n">
        <f aca="false">IF($A9="","",IF($F9=0,0,($G9-$F9)/$F9))</f>
        <v>-0.0748898678414097</v>
      </c>
      <c r="AE9" s="7" t="n">
        <f aca="false">IF($A9="","",($B9*$C9*(1+پارامترها!$B$14)+$D9*پارامترها!$B$13)*(1+پارامترها!$B$15)*IF(پارامترها!$B$22="بله",1+پارامترها!$B$21,1))</f>
        <v>22887.9</v>
      </c>
      <c r="AF9" s="7" t="n">
        <f aca="false">IF($A9="","",$O9+$P9+$Q9)</f>
        <v>487651764.705882</v>
      </c>
      <c r="AG9" s="7" t="n">
        <f aca="false">IF($A9="","",($U9-$V9)*$C9)</f>
        <v>15120000000</v>
      </c>
    </row>
    <row r="10" customFormat="false" ht="15" hidden="false" customHeight="false" outlineLevel="0" collapsed="false">
      <c r="A10" s="8"/>
      <c r="B10" s="9"/>
      <c r="C10" s="5"/>
      <c r="D10" s="14"/>
      <c r="E10" s="5"/>
      <c r="F10" s="5"/>
      <c r="G10" s="5"/>
      <c r="H10" s="10"/>
      <c r="I10" s="5"/>
      <c r="J10" s="7" t="str">
        <f aca="false">IF($A10="","",$B10*$C10*پارامترها!$B$6)</f>
        <v/>
      </c>
      <c r="K10" s="7" t="str">
        <f aca="false">IF($A10="","",$D10*پارامترها!$B$13*پارامترها!$B$6)</f>
        <v/>
      </c>
      <c r="L10" s="7" t="str">
        <f aca="false">IF($A10="","",$J10*پارامترها!$B$14)</f>
        <v/>
      </c>
      <c r="M10" s="7" t="str">
        <f aca="false">IF($A10="","",$J10+$K10+$L10)</f>
        <v/>
      </c>
      <c r="N10" s="7" t="str">
        <f aca="false">IF($A10="","",$M10*پارامترها!$B$15)</f>
        <v/>
      </c>
      <c r="O10" s="7" t="str">
        <f aca="false">IF($A10="","",$D10*پارامترها!$B$16)</f>
        <v/>
      </c>
      <c r="P10" s="7" t="str">
        <f aca="false">IF($A10="","",پارامترها!$B$19*IF(پارامترها!$B$20="وزن",IF(SUM($D$5:$D$29)=0,0,$D10/SUM($D$5:$D$29)),IF(SUMPRODUCT($B$5:$B$29,$C$5:$C$29)=0,0,$B10*$C10/SUMPRODUCT($B$5:$B$29,$C$5:$C$29))))</f>
        <v/>
      </c>
      <c r="Q10" s="7" t="str">
        <f aca="false">IF($A10="","",$E10*$C10)</f>
        <v/>
      </c>
      <c r="R10" s="7" t="str">
        <f aca="false">IF($A10="","",($M10+$N10)*پارامترها!$B$21)</f>
        <v/>
      </c>
      <c r="S10" s="7" t="str">
        <f aca="false">IF($A10="","",$J10+$K10+$L10+$N10+$O10+$P10+$Q10+IF(پارامترها!$B$22="بله",$R10,0))</f>
        <v/>
      </c>
      <c r="T10" s="7" t="str">
        <f aca="false">IF($A10="","",IF($C10=0,0,$S10/$C10))</f>
        <v/>
      </c>
      <c r="U10" s="7" t="str">
        <f aca="false">IF($A10="","",$G10/(1+پارامترها!$B$21))</f>
        <v/>
      </c>
      <c r="V10" s="7" t="str">
        <f aca="false">IF($A10="","",$U10*$H10)</f>
        <v/>
      </c>
      <c r="W10" s="7" t="str">
        <f aca="false">IF($A10="","",$U10-$T10-$V10)</f>
        <v/>
      </c>
      <c r="X10" s="15" t="str">
        <f aca="false">IF($A10="","",IF($U10=0,0,$W10/$U10))</f>
        <v/>
      </c>
      <c r="Y10" s="7" t="str">
        <f aca="false">IF($A10="","",$W10*$C10)</f>
        <v/>
      </c>
      <c r="Z10" s="7" t="str">
        <f aca="false">IF($A10="","",IF($H10&gt;=1,0,$T10/(1-$H10)*(1+پارامترها!$B$21)))</f>
        <v/>
      </c>
      <c r="AA10" s="7" t="str">
        <f aca="false">IF($A10="","",IF($AE10=0,0,($AG10-$AF10)/$AE10))</f>
        <v/>
      </c>
      <c r="AB10" s="15" t="str">
        <f aca="false">IF($A10="","",IF(پارامترها!$B$6=0,0,($AA10-پارامترها!$B$6)/پارامترها!$B$6))</f>
        <v/>
      </c>
      <c r="AC10" s="15" t="str">
        <f aca="false">IF($A10="","",IF(OR($S10=0,$I10=0),0,$Y10/$S10*365/$I10))</f>
        <v/>
      </c>
      <c r="AD10" s="15" t="str">
        <f aca="false">IF($A10="","",IF($F10=0,0,($G10-$F10)/$F10))</f>
        <v/>
      </c>
      <c r="AE10" s="7" t="str">
        <f aca="false">IF($A10="","",($B10*$C10*(1+پارامترها!$B$14)+$D10*پارامترها!$B$13)*(1+پارامترها!$B$15)*IF(پارامترها!$B$22="بله",1+پارامترها!$B$21,1))</f>
        <v/>
      </c>
      <c r="AF10" s="7" t="str">
        <f aca="false">IF($A10="","",$O10+$P10+$Q10)</f>
        <v/>
      </c>
      <c r="AG10" s="7" t="str">
        <f aca="false">IF($A10="","",($U10-$V10)*$C10)</f>
        <v/>
      </c>
    </row>
    <row r="11" customFormat="false" ht="15" hidden="false" customHeight="false" outlineLevel="0" collapsed="false">
      <c r="A11" s="8"/>
      <c r="B11" s="9"/>
      <c r="C11" s="5"/>
      <c r="D11" s="14"/>
      <c r="E11" s="5"/>
      <c r="F11" s="5"/>
      <c r="G11" s="5"/>
      <c r="H11" s="10"/>
      <c r="I11" s="5"/>
      <c r="J11" s="7" t="str">
        <f aca="false">IF($A11="","",$B11*$C11*پارامترها!$B$6)</f>
        <v/>
      </c>
      <c r="K11" s="7" t="str">
        <f aca="false">IF($A11="","",$D11*پارامترها!$B$13*پارامترها!$B$6)</f>
        <v/>
      </c>
      <c r="L11" s="7" t="str">
        <f aca="false">IF($A11="","",$J11*پارامترها!$B$14)</f>
        <v/>
      </c>
      <c r="M11" s="7" t="str">
        <f aca="false">IF($A11="","",$J11+$K11+$L11)</f>
        <v/>
      </c>
      <c r="N11" s="7" t="str">
        <f aca="false">IF($A11="","",$M11*پارامترها!$B$15)</f>
        <v/>
      </c>
      <c r="O11" s="7" t="str">
        <f aca="false">IF($A11="","",$D11*پارامترها!$B$16)</f>
        <v/>
      </c>
      <c r="P11" s="7" t="str">
        <f aca="false">IF($A11="","",پارامترها!$B$19*IF(پارامترها!$B$20="وزن",IF(SUM($D$5:$D$29)=0,0,$D11/SUM($D$5:$D$29)),IF(SUMPRODUCT($B$5:$B$29,$C$5:$C$29)=0,0,$B11*$C11/SUMPRODUCT($B$5:$B$29,$C$5:$C$29))))</f>
        <v/>
      </c>
      <c r="Q11" s="7" t="str">
        <f aca="false">IF($A11="","",$E11*$C11)</f>
        <v/>
      </c>
      <c r="R11" s="7" t="str">
        <f aca="false">IF($A11="","",($M11+$N11)*پارامترها!$B$21)</f>
        <v/>
      </c>
      <c r="S11" s="7" t="str">
        <f aca="false">IF($A11="","",$J11+$K11+$L11+$N11+$O11+$P11+$Q11+IF(پارامترها!$B$22="بله",$R11,0))</f>
        <v/>
      </c>
      <c r="T11" s="7" t="str">
        <f aca="false">IF($A11="","",IF($C11=0,0,$S11/$C11))</f>
        <v/>
      </c>
      <c r="U11" s="7" t="str">
        <f aca="false">IF($A11="","",$G11/(1+پارامترها!$B$21))</f>
        <v/>
      </c>
      <c r="V11" s="7" t="str">
        <f aca="false">IF($A11="","",$U11*$H11)</f>
        <v/>
      </c>
      <c r="W11" s="7" t="str">
        <f aca="false">IF($A11="","",$U11-$T11-$V11)</f>
        <v/>
      </c>
      <c r="X11" s="15" t="str">
        <f aca="false">IF($A11="","",IF($U11=0,0,$W11/$U11))</f>
        <v/>
      </c>
      <c r="Y11" s="7" t="str">
        <f aca="false">IF($A11="","",$W11*$C11)</f>
        <v/>
      </c>
      <c r="Z11" s="7" t="str">
        <f aca="false">IF($A11="","",IF($H11&gt;=1,0,$T11/(1-$H11)*(1+پارامترها!$B$21)))</f>
        <v/>
      </c>
      <c r="AA11" s="7" t="str">
        <f aca="false">IF($A11="","",IF($AE11=0,0,($AG11-$AF11)/$AE11))</f>
        <v/>
      </c>
      <c r="AB11" s="15" t="str">
        <f aca="false">IF($A11="","",IF(پارامترها!$B$6=0,0,($AA11-پارامترها!$B$6)/پارامترها!$B$6))</f>
        <v/>
      </c>
      <c r="AC11" s="15" t="str">
        <f aca="false">IF($A11="","",IF(OR($S11=0,$I11=0),0,$Y11/$S11*365/$I11))</f>
        <v/>
      </c>
      <c r="AD11" s="15" t="str">
        <f aca="false">IF($A11="","",IF($F11=0,0,($G11-$F11)/$F11))</f>
        <v/>
      </c>
      <c r="AE11" s="7" t="str">
        <f aca="false">IF($A11="","",($B11*$C11*(1+پارامترها!$B$14)+$D11*پارامترها!$B$13)*(1+پارامترها!$B$15)*IF(پارامترها!$B$22="بله",1+پارامترها!$B$21,1))</f>
        <v/>
      </c>
      <c r="AF11" s="7" t="str">
        <f aca="false">IF($A11="","",$O11+$P11+$Q11)</f>
        <v/>
      </c>
      <c r="AG11" s="7" t="str">
        <f aca="false">IF($A11="","",($U11-$V11)*$C11)</f>
        <v/>
      </c>
    </row>
    <row r="12" customFormat="false" ht="15" hidden="false" customHeight="false" outlineLevel="0" collapsed="false">
      <c r="A12" s="8"/>
      <c r="B12" s="9"/>
      <c r="C12" s="5"/>
      <c r="D12" s="14"/>
      <c r="E12" s="5"/>
      <c r="F12" s="5"/>
      <c r="G12" s="5"/>
      <c r="H12" s="10"/>
      <c r="I12" s="5"/>
      <c r="J12" s="7" t="str">
        <f aca="false">IF($A12="","",$B12*$C12*پارامترها!$B$6)</f>
        <v/>
      </c>
      <c r="K12" s="7" t="str">
        <f aca="false">IF($A12="","",$D12*پارامترها!$B$13*پارامترها!$B$6)</f>
        <v/>
      </c>
      <c r="L12" s="7" t="str">
        <f aca="false">IF($A12="","",$J12*پارامترها!$B$14)</f>
        <v/>
      </c>
      <c r="M12" s="7" t="str">
        <f aca="false">IF($A12="","",$J12+$K12+$L12)</f>
        <v/>
      </c>
      <c r="N12" s="7" t="str">
        <f aca="false">IF($A12="","",$M12*پارامترها!$B$15)</f>
        <v/>
      </c>
      <c r="O12" s="7" t="str">
        <f aca="false">IF($A12="","",$D12*پارامترها!$B$16)</f>
        <v/>
      </c>
      <c r="P12" s="7" t="str">
        <f aca="false">IF($A12="","",پارامترها!$B$19*IF(پارامترها!$B$20="وزن",IF(SUM($D$5:$D$29)=0,0,$D12/SUM($D$5:$D$29)),IF(SUMPRODUCT($B$5:$B$29,$C$5:$C$29)=0,0,$B12*$C12/SUMPRODUCT($B$5:$B$29,$C$5:$C$29))))</f>
        <v/>
      </c>
      <c r="Q12" s="7" t="str">
        <f aca="false">IF($A12="","",$E12*$C12)</f>
        <v/>
      </c>
      <c r="R12" s="7" t="str">
        <f aca="false">IF($A12="","",($M12+$N12)*پارامترها!$B$21)</f>
        <v/>
      </c>
      <c r="S12" s="7" t="str">
        <f aca="false">IF($A12="","",$J12+$K12+$L12+$N12+$O12+$P12+$Q12+IF(پارامترها!$B$22="بله",$R12,0))</f>
        <v/>
      </c>
      <c r="T12" s="7" t="str">
        <f aca="false">IF($A12="","",IF($C12=0,0,$S12/$C12))</f>
        <v/>
      </c>
      <c r="U12" s="7" t="str">
        <f aca="false">IF($A12="","",$G12/(1+پارامترها!$B$21))</f>
        <v/>
      </c>
      <c r="V12" s="7" t="str">
        <f aca="false">IF($A12="","",$U12*$H12)</f>
        <v/>
      </c>
      <c r="W12" s="7" t="str">
        <f aca="false">IF($A12="","",$U12-$T12-$V12)</f>
        <v/>
      </c>
      <c r="X12" s="15" t="str">
        <f aca="false">IF($A12="","",IF($U12=0,0,$W12/$U12))</f>
        <v/>
      </c>
      <c r="Y12" s="7" t="str">
        <f aca="false">IF($A12="","",$W12*$C12)</f>
        <v/>
      </c>
      <c r="Z12" s="7" t="str">
        <f aca="false">IF($A12="","",IF($H12&gt;=1,0,$T12/(1-$H12)*(1+پارامترها!$B$21)))</f>
        <v/>
      </c>
      <c r="AA12" s="7" t="str">
        <f aca="false">IF($A12="","",IF($AE12=0,0,($AG12-$AF12)/$AE12))</f>
        <v/>
      </c>
      <c r="AB12" s="15" t="str">
        <f aca="false">IF($A12="","",IF(پارامترها!$B$6=0,0,($AA12-پارامترها!$B$6)/پارامترها!$B$6))</f>
        <v/>
      </c>
      <c r="AC12" s="15" t="str">
        <f aca="false">IF($A12="","",IF(OR($S12=0,$I12=0),0,$Y12/$S12*365/$I12))</f>
        <v/>
      </c>
      <c r="AD12" s="15" t="str">
        <f aca="false">IF($A12="","",IF($F12=0,0,($G12-$F12)/$F12))</f>
        <v/>
      </c>
      <c r="AE12" s="7" t="str">
        <f aca="false">IF($A12="","",($B12*$C12*(1+پارامترها!$B$14)+$D12*پارامترها!$B$13)*(1+پارامترها!$B$15)*IF(پارامترها!$B$22="بله",1+پارامترها!$B$21,1))</f>
        <v/>
      </c>
      <c r="AF12" s="7" t="str">
        <f aca="false">IF($A12="","",$O12+$P12+$Q12)</f>
        <v/>
      </c>
      <c r="AG12" s="7" t="str">
        <f aca="false">IF($A12="","",($U12-$V12)*$C12)</f>
        <v/>
      </c>
    </row>
    <row r="13" customFormat="false" ht="15" hidden="false" customHeight="false" outlineLevel="0" collapsed="false">
      <c r="A13" s="8"/>
      <c r="B13" s="9"/>
      <c r="C13" s="5"/>
      <c r="D13" s="14"/>
      <c r="E13" s="5"/>
      <c r="F13" s="5"/>
      <c r="G13" s="5"/>
      <c r="H13" s="10"/>
      <c r="I13" s="5"/>
      <c r="J13" s="7" t="str">
        <f aca="false">IF($A13="","",$B13*$C13*پارامترها!$B$6)</f>
        <v/>
      </c>
      <c r="K13" s="7" t="str">
        <f aca="false">IF($A13="","",$D13*پارامترها!$B$13*پارامترها!$B$6)</f>
        <v/>
      </c>
      <c r="L13" s="7" t="str">
        <f aca="false">IF($A13="","",$J13*پارامترها!$B$14)</f>
        <v/>
      </c>
      <c r="M13" s="7" t="str">
        <f aca="false">IF($A13="","",$J13+$K13+$L13)</f>
        <v/>
      </c>
      <c r="N13" s="7" t="str">
        <f aca="false">IF($A13="","",$M13*پارامترها!$B$15)</f>
        <v/>
      </c>
      <c r="O13" s="7" t="str">
        <f aca="false">IF($A13="","",$D13*پارامترها!$B$16)</f>
        <v/>
      </c>
      <c r="P13" s="7" t="str">
        <f aca="false">IF($A13="","",پارامترها!$B$19*IF(پارامترها!$B$20="وزن",IF(SUM($D$5:$D$29)=0,0,$D13/SUM($D$5:$D$29)),IF(SUMPRODUCT($B$5:$B$29,$C$5:$C$29)=0,0,$B13*$C13/SUMPRODUCT($B$5:$B$29,$C$5:$C$29))))</f>
        <v/>
      </c>
      <c r="Q13" s="7" t="str">
        <f aca="false">IF($A13="","",$E13*$C13)</f>
        <v/>
      </c>
      <c r="R13" s="7" t="str">
        <f aca="false">IF($A13="","",($M13+$N13)*پارامترها!$B$21)</f>
        <v/>
      </c>
      <c r="S13" s="7" t="str">
        <f aca="false">IF($A13="","",$J13+$K13+$L13+$N13+$O13+$P13+$Q13+IF(پارامترها!$B$22="بله",$R13,0))</f>
        <v/>
      </c>
      <c r="T13" s="7" t="str">
        <f aca="false">IF($A13="","",IF($C13=0,0,$S13/$C13))</f>
        <v/>
      </c>
      <c r="U13" s="7" t="str">
        <f aca="false">IF($A13="","",$G13/(1+پارامترها!$B$21))</f>
        <v/>
      </c>
      <c r="V13" s="7" t="str">
        <f aca="false">IF($A13="","",$U13*$H13)</f>
        <v/>
      </c>
      <c r="W13" s="7" t="str">
        <f aca="false">IF($A13="","",$U13-$T13-$V13)</f>
        <v/>
      </c>
      <c r="X13" s="15" t="str">
        <f aca="false">IF($A13="","",IF($U13=0,0,$W13/$U13))</f>
        <v/>
      </c>
      <c r="Y13" s="7" t="str">
        <f aca="false">IF($A13="","",$W13*$C13)</f>
        <v/>
      </c>
      <c r="Z13" s="7" t="str">
        <f aca="false">IF($A13="","",IF($H13&gt;=1,0,$T13/(1-$H13)*(1+پارامترها!$B$21)))</f>
        <v/>
      </c>
      <c r="AA13" s="7" t="str">
        <f aca="false">IF($A13="","",IF($AE13=0,0,($AG13-$AF13)/$AE13))</f>
        <v/>
      </c>
      <c r="AB13" s="15" t="str">
        <f aca="false">IF($A13="","",IF(پارامترها!$B$6=0,0,($AA13-پارامترها!$B$6)/پارامترها!$B$6))</f>
        <v/>
      </c>
      <c r="AC13" s="15" t="str">
        <f aca="false">IF($A13="","",IF(OR($S13=0,$I13=0),0,$Y13/$S13*365/$I13))</f>
        <v/>
      </c>
      <c r="AD13" s="15" t="str">
        <f aca="false">IF($A13="","",IF($F13=0,0,($G13-$F13)/$F13))</f>
        <v/>
      </c>
      <c r="AE13" s="7" t="str">
        <f aca="false">IF($A13="","",($B13*$C13*(1+پارامترها!$B$14)+$D13*پارامترها!$B$13)*(1+پارامترها!$B$15)*IF(پارامترها!$B$22="بله",1+پارامترها!$B$21,1))</f>
        <v/>
      </c>
      <c r="AF13" s="7" t="str">
        <f aca="false">IF($A13="","",$O13+$P13+$Q13)</f>
        <v/>
      </c>
      <c r="AG13" s="7" t="str">
        <f aca="false">IF($A13="","",($U13-$V13)*$C13)</f>
        <v/>
      </c>
    </row>
    <row r="14" customFormat="false" ht="15" hidden="false" customHeight="false" outlineLevel="0" collapsed="false">
      <c r="A14" s="8"/>
      <c r="B14" s="9"/>
      <c r="C14" s="5"/>
      <c r="D14" s="14"/>
      <c r="E14" s="5"/>
      <c r="F14" s="5"/>
      <c r="G14" s="5"/>
      <c r="H14" s="10"/>
      <c r="I14" s="5"/>
      <c r="J14" s="7" t="str">
        <f aca="false">IF($A14="","",$B14*$C14*پارامترها!$B$6)</f>
        <v/>
      </c>
      <c r="K14" s="7" t="str">
        <f aca="false">IF($A14="","",$D14*پارامترها!$B$13*پارامترها!$B$6)</f>
        <v/>
      </c>
      <c r="L14" s="7" t="str">
        <f aca="false">IF($A14="","",$J14*پارامترها!$B$14)</f>
        <v/>
      </c>
      <c r="M14" s="7" t="str">
        <f aca="false">IF($A14="","",$J14+$K14+$L14)</f>
        <v/>
      </c>
      <c r="N14" s="7" t="str">
        <f aca="false">IF($A14="","",$M14*پارامترها!$B$15)</f>
        <v/>
      </c>
      <c r="O14" s="7" t="str">
        <f aca="false">IF($A14="","",$D14*پارامترها!$B$16)</f>
        <v/>
      </c>
      <c r="P14" s="7" t="str">
        <f aca="false">IF($A14="","",پارامترها!$B$19*IF(پارامترها!$B$20="وزن",IF(SUM($D$5:$D$29)=0,0,$D14/SUM($D$5:$D$29)),IF(SUMPRODUCT($B$5:$B$29,$C$5:$C$29)=0,0,$B14*$C14/SUMPRODUCT($B$5:$B$29,$C$5:$C$29))))</f>
        <v/>
      </c>
      <c r="Q14" s="7" t="str">
        <f aca="false">IF($A14="","",$E14*$C14)</f>
        <v/>
      </c>
      <c r="R14" s="7" t="str">
        <f aca="false">IF($A14="","",($M14+$N14)*پارامترها!$B$21)</f>
        <v/>
      </c>
      <c r="S14" s="7" t="str">
        <f aca="false">IF($A14="","",$J14+$K14+$L14+$N14+$O14+$P14+$Q14+IF(پارامترها!$B$22="بله",$R14,0))</f>
        <v/>
      </c>
      <c r="T14" s="7" t="str">
        <f aca="false">IF($A14="","",IF($C14=0,0,$S14/$C14))</f>
        <v/>
      </c>
      <c r="U14" s="7" t="str">
        <f aca="false">IF($A14="","",$G14/(1+پارامترها!$B$21))</f>
        <v/>
      </c>
      <c r="V14" s="7" t="str">
        <f aca="false">IF($A14="","",$U14*$H14)</f>
        <v/>
      </c>
      <c r="W14" s="7" t="str">
        <f aca="false">IF($A14="","",$U14-$T14-$V14)</f>
        <v/>
      </c>
      <c r="X14" s="15" t="str">
        <f aca="false">IF($A14="","",IF($U14=0,0,$W14/$U14))</f>
        <v/>
      </c>
      <c r="Y14" s="7" t="str">
        <f aca="false">IF($A14="","",$W14*$C14)</f>
        <v/>
      </c>
      <c r="Z14" s="7" t="str">
        <f aca="false">IF($A14="","",IF($H14&gt;=1,0,$T14/(1-$H14)*(1+پارامترها!$B$21)))</f>
        <v/>
      </c>
      <c r="AA14" s="7" t="str">
        <f aca="false">IF($A14="","",IF($AE14=0,0,($AG14-$AF14)/$AE14))</f>
        <v/>
      </c>
      <c r="AB14" s="15" t="str">
        <f aca="false">IF($A14="","",IF(پارامترها!$B$6=0,0,($AA14-پارامترها!$B$6)/پارامترها!$B$6))</f>
        <v/>
      </c>
      <c r="AC14" s="15" t="str">
        <f aca="false">IF($A14="","",IF(OR($S14=0,$I14=0),0,$Y14/$S14*365/$I14))</f>
        <v/>
      </c>
      <c r="AD14" s="15" t="str">
        <f aca="false">IF($A14="","",IF($F14=0,0,($G14-$F14)/$F14))</f>
        <v/>
      </c>
      <c r="AE14" s="7" t="str">
        <f aca="false">IF($A14="","",($B14*$C14*(1+پارامترها!$B$14)+$D14*پارامترها!$B$13)*(1+پارامترها!$B$15)*IF(پارامترها!$B$22="بله",1+پارامترها!$B$21,1))</f>
        <v/>
      </c>
      <c r="AF14" s="7" t="str">
        <f aca="false">IF($A14="","",$O14+$P14+$Q14)</f>
        <v/>
      </c>
      <c r="AG14" s="7" t="str">
        <f aca="false">IF($A14="","",($U14-$V14)*$C14)</f>
        <v/>
      </c>
    </row>
    <row r="15" customFormat="false" ht="15" hidden="false" customHeight="false" outlineLevel="0" collapsed="false">
      <c r="A15" s="8"/>
      <c r="B15" s="9"/>
      <c r="C15" s="5"/>
      <c r="D15" s="14"/>
      <c r="E15" s="5"/>
      <c r="F15" s="5"/>
      <c r="G15" s="5"/>
      <c r="H15" s="10"/>
      <c r="I15" s="5"/>
      <c r="J15" s="7" t="str">
        <f aca="false">IF($A15="","",$B15*$C15*پارامترها!$B$6)</f>
        <v/>
      </c>
      <c r="K15" s="7" t="str">
        <f aca="false">IF($A15="","",$D15*پارامترها!$B$13*پارامترها!$B$6)</f>
        <v/>
      </c>
      <c r="L15" s="7" t="str">
        <f aca="false">IF($A15="","",$J15*پارامترها!$B$14)</f>
        <v/>
      </c>
      <c r="M15" s="7" t="str">
        <f aca="false">IF($A15="","",$J15+$K15+$L15)</f>
        <v/>
      </c>
      <c r="N15" s="7" t="str">
        <f aca="false">IF($A15="","",$M15*پارامترها!$B$15)</f>
        <v/>
      </c>
      <c r="O15" s="7" t="str">
        <f aca="false">IF($A15="","",$D15*پارامترها!$B$16)</f>
        <v/>
      </c>
      <c r="P15" s="7" t="str">
        <f aca="false">IF($A15="","",پارامترها!$B$19*IF(پارامترها!$B$20="وزن",IF(SUM($D$5:$D$29)=0,0,$D15/SUM($D$5:$D$29)),IF(SUMPRODUCT($B$5:$B$29,$C$5:$C$29)=0,0,$B15*$C15/SUMPRODUCT($B$5:$B$29,$C$5:$C$29))))</f>
        <v/>
      </c>
      <c r="Q15" s="7" t="str">
        <f aca="false">IF($A15="","",$E15*$C15)</f>
        <v/>
      </c>
      <c r="R15" s="7" t="str">
        <f aca="false">IF($A15="","",($M15+$N15)*پارامترها!$B$21)</f>
        <v/>
      </c>
      <c r="S15" s="7" t="str">
        <f aca="false">IF($A15="","",$J15+$K15+$L15+$N15+$O15+$P15+$Q15+IF(پارامترها!$B$22="بله",$R15,0))</f>
        <v/>
      </c>
      <c r="T15" s="7" t="str">
        <f aca="false">IF($A15="","",IF($C15=0,0,$S15/$C15))</f>
        <v/>
      </c>
      <c r="U15" s="7" t="str">
        <f aca="false">IF($A15="","",$G15/(1+پارامترها!$B$21))</f>
        <v/>
      </c>
      <c r="V15" s="7" t="str">
        <f aca="false">IF($A15="","",$U15*$H15)</f>
        <v/>
      </c>
      <c r="W15" s="7" t="str">
        <f aca="false">IF($A15="","",$U15-$T15-$V15)</f>
        <v/>
      </c>
      <c r="X15" s="15" t="str">
        <f aca="false">IF($A15="","",IF($U15=0,0,$W15/$U15))</f>
        <v/>
      </c>
      <c r="Y15" s="7" t="str">
        <f aca="false">IF($A15="","",$W15*$C15)</f>
        <v/>
      </c>
      <c r="Z15" s="7" t="str">
        <f aca="false">IF($A15="","",IF($H15&gt;=1,0,$T15/(1-$H15)*(1+پارامترها!$B$21)))</f>
        <v/>
      </c>
      <c r="AA15" s="7" t="str">
        <f aca="false">IF($A15="","",IF($AE15=0,0,($AG15-$AF15)/$AE15))</f>
        <v/>
      </c>
      <c r="AB15" s="15" t="str">
        <f aca="false">IF($A15="","",IF(پارامترها!$B$6=0,0,($AA15-پارامترها!$B$6)/پارامترها!$B$6))</f>
        <v/>
      </c>
      <c r="AC15" s="15" t="str">
        <f aca="false">IF($A15="","",IF(OR($S15=0,$I15=0),0,$Y15/$S15*365/$I15))</f>
        <v/>
      </c>
      <c r="AD15" s="15" t="str">
        <f aca="false">IF($A15="","",IF($F15=0,0,($G15-$F15)/$F15))</f>
        <v/>
      </c>
      <c r="AE15" s="7" t="str">
        <f aca="false">IF($A15="","",($B15*$C15*(1+پارامترها!$B$14)+$D15*پارامترها!$B$13)*(1+پارامترها!$B$15)*IF(پارامترها!$B$22="بله",1+پارامترها!$B$21,1))</f>
        <v/>
      </c>
      <c r="AF15" s="7" t="str">
        <f aca="false">IF($A15="","",$O15+$P15+$Q15)</f>
        <v/>
      </c>
      <c r="AG15" s="7" t="str">
        <f aca="false">IF($A15="","",($U15-$V15)*$C15)</f>
        <v/>
      </c>
    </row>
    <row r="16" customFormat="false" ht="15" hidden="false" customHeight="false" outlineLevel="0" collapsed="false">
      <c r="A16" s="8"/>
      <c r="B16" s="9"/>
      <c r="C16" s="5"/>
      <c r="D16" s="14"/>
      <c r="E16" s="5"/>
      <c r="F16" s="5"/>
      <c r="G16" s="5"/>
      <c r="H16" s="10"/>
      <c r="I16" s="5"/>
      <c r="J16" s="7" t="str">
        <f aca="false">IF($A16="","",$B16*$C16*پارامترها!$B$6)</f>
        <v/>
      </c>
      <c r="K16" s="7" t="str">
        <f aca="false">IF($A16="","",$D16*پارامترها!$B$13*پارامترها!$B$6)</f>
        <v/>
      </c>
      <c r="L16" s="7" t="str">
        <f aca="false">IF($A16="","",$J16*پارامترها!$B$14)</f>
        <v/>
      </c>
      <c r="M16" s="7" t="str">
        <f aca="false">IF($A16="","",$J16+$K16+$L16)</f>
        <v/>
      </c>
      <c r="N16" s="7" t="str">
        <f aca="false">IF($A16="","",$M16*پارامترها!$B$15)</f>
        <v/>
      </c>
      <c r="O16" s="7" t="str">
        <f aca="false">IF($A16="","",$D16*پارامترها!$B$16)</f>
        <v/>
      </c>
      <c r="P16" s="7" t="str">
        <f aca="false">IF($A16="","",پارامترها!$B$19*IF(پارامترها!$B$20="وزن",IF(SUM($D$5:$D$29)=0,0,$D16/SUM($D$5:$D$29)),IF(SUMPRODUCT($B$5:$B$29,$C$5:$C$29)=0,0,$B16*$C16/SUMPRODUCT($B$5:$B$29,$C$5:$C$29))))</f>
        <v/>
      </c>
      <c r="Q16" s="7" t="str">
        <f aca="false">IF($A16="","",$E16*$C16)</f>
        <v/>
      </c>
      <c r="R16" s="7" t="str">
        <f aca="false">IF($A16="","",($M16+$N16)*پارامترها!$B$21)</f>
        <v/>
      </c>
      <c r="S16" s="7" t="str">
        <f aca="false">IF($A16="","",$J16+$K16+$L16+$N16+$O16+$P16+$Q16+IF(پارامترها!$B$22="بله",$R16,0))</f>
        <v/>
      </c>
      <c r="T16" s="7" t="str">
        <f aca="false">IF($A16="","",IF($C16=0,0,$S16/$C16))</f>
        <v/>
      </c>
      <c r="U16" s="7" t="str">
        <f aca="false">IF($A16="","",$G16/(1+پارامترها!$B$21))</f>
        <v/>
      </c>
      <c r="V16" s="7" t="str">
        <f aca="false">IF($A16="","",$U16*$H16)</f>
        <v/>
      </c>
      <c r="W16" s="7" t="str">
        <f aca="false">IF($A16="","",$U16-$T16-$V16)</f>
        <v/>
      </c>
      <c r="X16" s="15" t="str">
        <f aca="false">IF($A16="","",IF($U16=0,0,$W16/$U16))</f>
        <v/>
      </c>
      <c r="Y16" s="7" t="str">
        <f aca="false">IF($A16="","",$W16*$C16)</f>
        <v/>
      </c>
      <c r="Z16" s="7" t="str">
        <f aca="false">IF($A16="","",IF($H16&gt;=1,0,$T16/(1-$H16)*(1+پارامترها!$B$21)))</f>
        <v/>
      </c>
      <c r="AA16" s="7" t="str">
        <f aca="false">IF($A16="","",IF($AE16=0,0,($AG16-$AF16)/$AE16))</f>
        <v/>
      </c>
      <c r="AB16" s="15" t="str">
        <f aca="false">IF($A16="","",IF(پارامترها!$B$6=0,0,($AA16-پارامترها!$B$6)/پارامترها!$B$6))</f>
        <v/>
      </c>
      <c r="AC16" s="15" t="str">
        <f aca="false">IF($A16="","",IF(OR($S16=0,$I16=0),0,$Y16/$S16*365/$I16))</f>
        <v/>
      </c>
      <c r="AD16" s="15" t="str">
        <f aca="false">IF($A16="","",IF($F16=0,0,($G16-$F16)/$F16))</f>
        <v/>
      </c>
      <c r="AE16" s="7" t="str">
        <f aca="false">IF($A16="","",($B16*$C16*(1+پارامترها!$B$14)+$D16*پارامترها!$B$13)*(1+پارامترها!$B$15)*IF(پارامترها!$B$22="بله",1+پارامترها!$B$21,1))</f>
        <v/>
      </c>
      <c r="AF16" s="7" t="str">
        <f aca="false">IF($A16="","",$O16+$P16+$Q16)</f>
        <v/>
      </c>
      <c r="AG16" s="7" t="str">
        <f aca="false">IF($A16="","",($U16-$V16)*$C16)</f>
        <v/>
      </c>
    </row>
    <row r="17" customFormat="false" ht="15" hidden="false" customHeight="false" outlineLevel="0" collapsed="false">
      <c r="A17" s="8"/>
      <c r="B17" s="9"/>
      <c r="C17" s="5"/>
      <c r="D17" s="14"/>
      <c r="E17" s="5"/>
      <c r="F17" s="5"/>
      <c r="G17" s="5"/>
      <c r="H17" s="10"/>
      <c r="I17" s="5"/>
      <c r="J17" s="7" t="str">
        <f aca="false">IF($A17="","",$B17*$C17*پارامترها!$B$6)</f>
        <v/>
      </c>
      <c r="K17" s="7" t="str">
        <f aca="false">IF($A17="","",$D17*پارامترها!$B$13*پارامترها!$B$6)</f>
        <v/>
      </c>
      <c r="L17" s="7" t="str">
        <f aca="false">IF($A17="","",$J17*پارامترها!$B$14)</f>
        <v/>
      </c>
      <c r="M17" s="7" t="str">
        <f aca="false">IF($A17="","",$J17+$K17+$L17)</f>
        <v/>
      </c>
      <c r="N17" s="7" t="str">
        <f aca="false">IF($A17="","",$M17*پارامترها!$B$15)</f>
        <v/>
      </c>
      <c r="O17" s="7" t="str">
        <f aca="false">IF($A17="","",$D17*پارامترها!$B$16)</f>
        <v/>
      </c>
      <c r="P17" s="7" t="str">
        <f aca="false">IF($A17="","",پارامترها!$B$19*IF(پارامترها!$B$20="وزن",IF(SUM($D$5:$D$29)=0,0,$D17/SUM($D$5:$D$29)),IF(SUMPRODUCT($B$5:$B$29,$C$5:$C$29)=0,0,$B17*$C17/SUMPRODUCT($B$5:$B$29,$C$5:$C$29))))</f>
        <v/>
      </c>
      <c r="Q17" s="7" t="str">
        <f aca="false">IF($A17="","",$E17*$C17)</f>
        <v/>
      </c>
      <c r="R17" s="7" t="str">
        <f aca="false">IF($A17="","",($M17+$N17)*پارامترها!$B$21)</f>
        <v/>
      </c>
      <c r="S17" s="7" t="str">
        <f aca="false">IF($A17="","",$J17+$K17+$L17+$N17+$O17+$P17+$Q17+IF(پارامترها!$B$22="بله",$R17,0))</f>
        <v/>
      </c>
      <c r="T17" s="7" t="str">
        <f aca="false">IF($A17="","",IF($C17=0,0,$S17/$C17))</f>
        <v/>
      </c>
      <c r="U17" s="7" t="str">
        <f aca="false">IF($A17="","",$G17/(1+پارامترها!$B$21))</f>
        <v/>
      </c>
      <c r="V17" s="7" t="str">
        <f aca="false">IF($A17="","",$U17*$H17)</f>
        <v/>
      </c>
      <c r="W17" s="7" t="str">
        <f aca="false">IF($A17="","",$U17-$T17-$V17)</f>
        <v/>
      </c>
      <c r="X17" s="15" t="str">
        <f aca="false">IF($A17="","",IF($U17=0,0,$W17/$U17))</f>
        <v/>
      </c>
      <c r="Y17" s="7" t="str">
        <f aca="false">IF($A17="","",$W17*$C17)</f>
        <v/>
      </c>
      <c r="Z17" s="7" t="str">
        <f aca="false">IF($A17="","",IF($H17&gt;=1,0,$T17/(1-$H17)*(1+پارامترها!$B$21)))</f>
        <v/>
      </c>
      <c r="AA17" s="7" t="str">
        <f aca="false">IF($A17="","",IF($AE17=0,0,($AG17-$AF17)/$AE17))</f>
        <v/>
      </c>
      <c r="AB17" s="15" t="str">
        <f aca="false">IF($A17="","",IF(پارامترها!$B$6=0,0,($AA17-پارامترها!$B$6)/پارامترها!$B$6))</f>
        <v/>
      </c>
      <c r="AC17" s="15" t="str">
        <f aca="false">IF($A17="","",IF(OR($S17=0,$I17=0),0,$Y17/$S17*365/$I17))</f>
        <v/>
      </c>
      <c r="AD17" s="15" t="str">
        <f aca="false">IF($A17="","",IF($F17=0,0,($G17-$F17)/$F17))</f>
        <v/>
      </c>
      <c r="AE17" s="7" t="str">
        <f aca="false">IF($A17="","",($B17*$C17*(1+پارامترها!$B$14)+$D17*پارامترها!$B$13)*(1+پارامترها!$B$15)*IF(پارامترها!$B$22="بله",1+پارامترها!$B$21,1))</f>
        <v/>
      </c>
      <c r="AF17" s="7" t="str">
        <f aca="false">IF($A17="","",$O17+$P17+$Q17)</f>
        <v/>
      </c>
      <c r="AG17" s="7" t="str">
        <f aca="false">IF($A17="","",($U17-$V17)*$C17)</f>
        <v/>
      </c>
    </row>
    <row r="18" customFormat="false" ht="15" hidden="false" customHeight="false" outlineLevel="0" collapsed="false">
      <c r="A18" s="8"/>
      <c r="B18" s="9"/>
      <c r="C18" s="5"/>
      <c r="D18" s="14"/>
      <c r="E18" s="5"/>
      <c r="F18" s="5"/>
      <c r="G18" s="5"/>
      <c r="H18" s="10"/>
      <c r="I18" s="5"/>
      <c r="J18" s="7" t="str">
        <f aca="false">IF($A18="","",$B18*$C18*پارامترها!$B$6)</f>
        <v/>
      </c>
      <c r="K18" s="7" t="str">
        <f aca="false">IF($A18="","",$D18*پارامترها!$B$13*پارامترها!$B$6)</f>
        <v/>
      </c>
      <c r="L18" s="7" t="str">
        <f aca="false">IF($A18="","",$J18*پارامترها!$B$14)</f>
        <v/>
      </c>
      <c r="M18" s="7" t="str">
        <f aca="false">IF($A18="","",$J18+$K18+$L18)</f>
        <v/>
      </c>
      <c r="N18" s="7" t="str">
        <f aca="false">IF($A18="","",$M18*پارامترها!$B$15)</f>
        <v/>
      </c>
      <c r="O18" s="7" t="str">
        <f aca="false">IF($A18="","",$D18*پارامترها!$B$16)</f>
        <v/>
      </c>
      <c r="P18" s="7" t="str">
        <f aca="false">IF($A18="","",پارامترها!$B$19*IF(پارامترها!$B$20="وزن",IF(SUM($D$5:$D$29)=0,0,$D18/SUM($D$5:$D$29)),IF(SUMPRODUCT($B$5:$B$29,$C$5:$C$29)=0,0,$B18*$C18/SUMPRODUCT($B$5:$B$29,$C$5:$C$29))))</f>
        <v/>
      </c>
      <c r="Q18" s="7" t="str">
        <f aca="false">IF($A18="","",$E18*$C18)</f>
        <v/>
      </c>
      <c r="R18" s="7" t="str">
        <f aca="false">IF($A18="","",($M18+$N18)*پارامترها!$B$21)</f>
        <v/>
      </c>
      <c r="S18" s="7" t="str">
        <f aca="false">IF($A18="","",$J18+$K18+$L18+$N18+$O18+$P18+$Q18+IF(پارامترها!$B$22="بله",$R18,0))</f>
        <v/>
      </c>
      <c r="T18" s="7" t="str">
        <f aca="false">IF($A18="","",IF($C18=0,0,$S18/$C18))</f>
        <v/>
      </c>
      <c r="U18" s="7" t="str">
        <f aca="false">IF($A18="","",$G18/(1+پارامترها!$B$21))</f>
        <v/>
      </c>
      <c r="V18" s="7" t="str">
        <f aca="false">IF($A18="","",$U18*$H18)</f>
        <v/>
      </c>
      <c r="W18" s="7" t="str">
        <f aca="false">IF($A18="","",$U18-$T18-$V18)</f>
        <v/>
      </c>
      <c r="X18" s="15" t="str">
        <f aca="false">IF($A18="","",IF($U18=0,0,$W18/$U18))</f>
        <v/>
      </c>
      <c r="Y18" s="7" t="str">
        <f aca="false">IF($A18="","",$W18*$C18)</f>
        <v/>
      </c>
      <c r="Z18" s="7" t="str">
        <f aca="false">IF($A18="","",IF($H18&gt;=1,0,$T18/(1-$H18)*(1+پارامترها!$B$21)))</f>
        <v/>
      </c>
      <c r="AA18" s="7" t="str">
        <f aca="false">IF($A18="","",IF($AE18=0,0,($AG18-$AF18)/$AE18))</f>
        <v/>
      </c>
      <c r="AB18" s="15" t="str">
        <f aca="false">IF($A18="","",IF(پارامترها!$B$6=0,0,($AA18-پارامترها!$B$6)/پارامترها!$B$6))</f>
        <v/>
      </c>
      <c r="AC18" s="15" t="str">
        <f aca="false">IF($A18="","",IF(OR($S18=0,$I18=0),0,$Y18/$S18*365/$I18))</f>
        <v/>
      </c>
      <c r="AD18" s="15" t="str">
        <f aca="false">IF($A18="","",IF($F18=0,0,($G18-$F18)/$F18))</f>
        <v/>
      </c>
      <c r="AE18" s="7" t="str">
        <f aca="false">IF($A18="","",($B18*$C18*(1+پارامترها!$B$14)+$D18*پارامترها!$B$13)*(1+پارامترها!$B$15)*IF(پارامترها!$B$22="بله",1+پارامترها!$B$21,1))</f>
        <v/>
      </c>
      <c r="AF18" s="7" t="str">
        <f aca="false">IF($A18="","",$O18+$P18+$Q18)</f>
        <v/>
      </c>
      <c r="AG18" s="7" t="str">
        <f aca="false">IF($A18="","",($U18-$V18)*$C18)</f>
        <v/>
      </c>
    </row>
    <row r="19" customFormat="false" ht="15" hidden="false" customHeight="false" outlineLevel="0" collapsed="false">
      <c r="A19" s="8"/>
      <c r="B19" s="9"/>
      <c r="C19" s="5"/>
      <c r="D19" s="14"/>
      <c r="E19" s="5"/>
      <c r="F19" s="5"/>
      <c r="G19" s="5"/>
      <c r="H19" s="10"/>
      <c r="I19" s="5"/>
      <c r="J19" s="7" t="str">
        <f aca="false">IF($A19="","",$B19*$C19*پارامترها!$B$6)</f>
        <v/>
      </c>
      <c r="K19" s="7" t="str">
        <f aca="false">IF($A19="","",$D19*پارامترها!$B$13*پارامترها!$B$6)</f>
        <v/>
      </c>
      <c r="L19" s="7" t="str">
        <f aca="false">IF($A19="","",$J19*پارامترها!$B$14)</f>
        <v/>
      </c>
      <c r="M19" s="7" t="str">
        <f aca="false">IF($A19="","",$J19+$K19+$L19)</f>
        <v/>
      </c>
      <c r="N19" s="7" t="str">
        <f aca="false">IF($A19="","",$M19*پارامترها!$B$15)</f>
        <v/>
      </c>
      <c r="O19" s="7" t="str">
        <f aca="false">IF($A19="","",$D19*پارامترها!$B$16)</f>
        <v/>
      </c>
      <c r="P19" s="7" t="str">
        <f aca="false">IF($A19="","",پارامترها!$B$19*IF(پارامترها!$B$20="وزن",IF(SUM($D$5:$D$29)=0,0,$D19/SUM($D$5:$D$29)),IF(SUMPRODUCT($B$5:$B$29,$C$5:$C$29)=0,0,$B19*$C19/SUMPRODUCT($B$5:$B$29,$C$5:$C$29))))</f>
        <v/>
      </c>
      <c r="Q19" s="7" t="str">
        <f aca="false">IF($A19="","",$E19*$C19)</f>
        <v/>
      </c>
      <c r="R19" s="7" t="str">
        <f aca="false">IF($A19="","",($M19+$N19)*پارامترها!$B$21)</f>
        <v/>
      </c>
      <c r="S19" s="7" t="str">
        <f aca="false">IF($A19="","",$J19+$K19+$L19+$N19+$O19+$P19+$Q19+IF(پارامترها!$B$22="بله",$R19,0))</f>
        <v/>
      </c>
      <c r="T19" s="7" t="str">
        <f aca="false">IF($A19="","",IF($C19=0,0,$S19/$C19))</f>
        <v/>
      </c>
      <c r="U19" s="7" t="str">
        <f aca="false">IF($A19="","",$G19/(1+پارامترها!$B$21))</f>
        <v/>
      </c>
      <c r="V19" s="7" t="str">
        <f aca="false">IF($A19="","",$U19*$H19)</f>
        <v/>
      </c>
      <c r="W19" s="7" t="str">
        <f aca="false">IF($A19="","",$U19-$T19-$V19)</f>
        <v/>
      </c>
      <c r="X19" s="15" t="str">
        <f aca="false">IF($A19="","",IF($U19=0,0,$W19/$U19))</f>
        <v/>
      </c>
      <c r="Y19" s="7" t="str">
        <f aca="false">IF($A19="","",$W19*$C19)</f>
        <v/>
      </c>
      <c r="Z19" s="7" t="str">
        <f aca="false">IF($A19="","",IF($H19&gt;=1,0,$T19/(1-$H19)*(1+پارامترها!$B$21)))</f>
        <v/>
      </c>
      <c r="AA19" s="7" t="str">
        <f aca="false">IF($A19="","",IF($AE19=0,0,($AG19-$AF19)/$AE19))</f>
        <v/>
      </c>
      <c r="AB19" s="15" t="str">
        <f aca="false">IF($A19="","",IF(پارامترها!$B$6=0,0,($AA19-پارامترها!$B$6)/پارامترها!$B$6))</f>
        <v/>
      </c>
      <c r="AC19" s="15" t="str">
        <f aca="false">IF($A19="","",IF(OR($S19=0,$I19=0),0,$Y19/$S19*365/$I19))</f>
        <v/>
      </c>
      <c r="AD19" s="15" t="str">
        <f aca="false">IF($A19="","",IF($F19=0,0,($G19-$F19)/$F19))</f>
        <v/>
      </c>
      <c r="AE19" s="7" t="str">
        <f aca="false">IF($A19="","",($B19*$C19*(1+پارامترها!$B$14)+$D19*پارامترها!$B$13)*(1+پارامترها!$B$15)*IF(پارامترها!$B$22="بله",1+پارامترها!$B$21,1))</f>
        <v/>
      </c>
      <c r="AF19" s="7" t="str">
        <f aca="false">IF($A19="","",$O19+$P19+$Q19)</f>
        <v/>
      </c>
      <c r="AG19" s="7" t="str">
        <f aca="false">IF($A19="","",($U19-$V19)*$C19)</f>
        <v/>
      </c>
    </row>
    <row r="20" customFormat="false" ht="15" hidden="false" customHeight="false" outlineLevel="0" collapsed="false">
      <c r="A20" s="8"/>
      <c r="B20" s="9"/>
      <c r="C20" s="5"/>
      <c r="D20" s="14"/>
      <c r="E20" s="5"/>
      <c r="F20" s="5"/>
      <c r="G20" s="5"/>
      <c r="H20" s="10"/>
      <c r="I20" s="5"/>
      <c r="J20" s="7" t="str">
        <f aca="false">IF($A20="","",$B20*$C20*پارامترها!$B$6)</f>
        <v/>
      </c>
      <c r="K20" s="7" t="str">
        <f aca="false">IF($A20="","",$D20*پارامترها!$B$13*پارامترها!$B$6)</f>
        <v/>
      </c>
      <c r="L20" s="7" t="str">
        <f aca="false">IF($A20="","",$J20*پارامترها!$B$14)</f>
        <v/>
      </c>
      <c r="M20" s="7" t="str">
        <f aca="false">IF($A20="","",$J20+$K20+$L20)</f>
        <v/>
      </c>
      <c r="N20" s="7" t="str">
        <f aca="false">IF($A20="","",$M20*پارامترها!$B$15)</f>
        <v/>
      </c>
      <c r="O20" s="7" t="str">
        <f aca="false">IF($A20="","",$D20*پارامترها!$B$16)</f>
        <v/>
      </c>
      <c r="P20" s="7" t="str">
        <f aca="false">IF($A20="","",پارامترها!$B$19*IF(پارامترها!$B$20="وزن",IF(SUM($D$5:$D$29)=0,0,$D20/SUM($D$5:$D$29)),IF(SUMPRODUCT($B$5:$B$29,$C$5:$C$29)=0,0,$B20*$C20/SUMPRODUCT($B$5:$B$29,$C$5:$C$29))))</f>
        <v/>
      </c>
      <c r="Q20" s="7" t="str">
        <f aca="false">IF($A20="","",$E20*$C20)</f>
        <v/>
      </c>
      <c r="R20" s="7" t="str">
        <f aca="false">IF($A20="","",($M20+$N20)*پارامترها!$B$21)</f>
        <v/>
      </c>
      <c r="S20" s="7" t="str">
        <f aca="false">IF($A20="","",$J20+$K20+$L20+$N20+$O20+$P20+$Q20+IF(پارامترها!$B$22="بله",$R20,0))</f>
        <v/>
      </c>
      <c r="T20" s="7" t="str">
        <f aca="false">IF($A20="","",IF($C20=0,0,$S20/$C20))</f>
        <v/>
      </c>
      <c r="U20" s="7" t="str">
        <f aca="false">IF($A20="","",$G20/(1+پارامترها!$B$21))</f>
        <v/>
      </c>
      <c r="V20" s="7" t="str">
        <f aca="false">IF($A20="","",$U20*$H20)</f>
        <v/>
      </c>
      <c r="W20" s="7" t="str">
        <f aca="false">IF($A20="","",$U20-$T20-$V20)</f>
        <v/>
      </c>
      <c r="X20" s="15" t="str">
        <f aca="false">IF($A20="","",IF($U20=0,0,$W20/$U20))</f>
        <v/>
      </c>
      <c r="Y20" s="7" t="str">
        <f aca="false">IF($A20="","",$W20*$C20)</f>
        <v/>
      </c>
      <c r="Z20" s="7" t="str">
        <f aca="false">IF($A20="","",IF($H20&gt;=1,0,$T20/(1-$H20)*(1+پارامترها!$B$21)))</f>
        <v/>
      </c>
      <c r="AA20" s="7" t="str">
        <f aca="false">IF($A20="","",IF($AE20=0,0,($AG20-$AF20)/$AE20))</f>
        <v/>
      </c>
      <c r="AB20" s="15" t="str">
        <f aca="false">IF($A20="","",IF(پارامترها!$B$6=0,0,($AA20-پارامترها!$B$6)/پارامترها!$B$6))</f>
        <v/>
      </c>
      <c r="AC20" s="15" t="str">
        <f aca="false">IF($A20="","",IF(OR($S20=0,$I20=0),0,$Y20/$S20*365/$I20))</f>
        <v/>
      </c>
      <c r="AD20" s="15" t="str">
        <f aca="false">IF($A20="","",IF($F20=0,0,($G20-$F20)/$F20))</f>
        <v/>
      </c>
      <c r="AE20" s="7" t="str">
        <f aca="false">IF($A20="","",($B20*$C20*(1+پارامترها!$B$14)+$D20*پارامترها!$B$13)*(1+پارامترها!$B$15)*IF(پارامترها!$B$22="بله",1+پارامترها!$B$21,1))</f>
        <v/>
      </c>
      <c r="AF20" s="7" t="str">
        <f aca="false">IF($A20="","",$O20+$P20+$Q20)</f>
        <v/>
      </c>
      <c r="AG20" s="7" t="str">
        <f aca="false">IF($A20="","",($U20-$V20)*$C20)</f>
        <v/>
      </c>
    </row>
    <row r="21" customFormat="false" ht="15" hidden="false" customHeight="false" outlineLevel="0" collapsed="false">
      <c r="A21" s="8"/>
      <c r="B21" s="9"/>
      <c r="C21" s="5"/>
      <c r="D21" s="14"/>
      <c r="E21" s="5"/>
      <c r="F21" s="5"/>
      <c r="G21" s="5"/>
      <c r="H21" s="10"/>
      <c r="I21" s="5"/>
      <c r="J21" s="7" t="str">
        <f aca="false">IF($A21="","",$B21*$C21*پارامترها!$B$6)</f>
        <v/>
      </c>
      <c r="K21" s="7" t="str">
        <f aca="false">IF($A21="","",$D21*پارامترها!$B$13*پارامترها!$B$6)</f>
        <v/>
      </c>
      <c r="L21" s="7" t="str">
        <f aca="false">IF($A21="","",$J21*پارامترها!$B$14)</f>
        <v/>
      </c>
      <c r="M21" s="7" t="str">
        <f aca="false">IF($A21="","",$J21+$K21+$L21)</f>
        <v/>
      </c>
      <c r="N21" s="7" t="str">
        <f aca="false">IF($A21="","",$M21*پارامترها!$B$15)</f>
        <v/>
      </c>
      <c r="O21" s="7" t="str">
        <f aca="false">IF($A21="","",$D21*پارامترها!$B$16)</f>
        <v/>
      </c>
      <c r="P21" s="7" t="str">
        <f aca="false">IF($A21="","",پارامترها!$B$19*IF(پارامترها!$B$20="وزن",IF(SUM($D$5:$D$29)=0,0,$D21/SUM($D$5:$D$29)),IF(SUMPRODUCT($B$5:$B$29,$C$5:$C$29)=0,0,$B21*$C21/SUMPRODUCT($B$5:$B$29,$C$5:$C$29))))</f>
        <v/>
      </c>
      <c r="Q21" s="7" t="str">
        <f aca="false">IF($A21="","",$E21*$C21)</f>
        <v/>
      </c>
      <c r="R21" s="7" t="str">
        <f aca="false">IF($A21="","",($M21+$N21)*پارامترها!$B$21)</f>
        <v/>
      </c>
      <c r="S21" s="7" t="str">
        <f aca="false">IF($A21="","",$J21+$K21+$L21+$N21+$O21+$P21+$Q21+IF(پارامترها!$B$22="بله",$R21,0))</f>
        <v/>
      </c>
      <c r="T21" s="7" t="str">
        <f aca="false">IF($A21="","",IF($C21=0,0,$S21/$C21))</f>
        <v/>
      </c>
      <c r="U21" s="7" t="str">
        <f aca="false">IF($A21="","",$G21/(1+پارامترها!$B$21))</f>
        <v/>
      </c>
      <c r="V21" s="7" t="str">
        <f aca="false">IF($A21="","",$U21*$H21)</f>
        <v/>
      </c>
      <c r="W21" s="7" t="str">
        <f aca="false">IF($A21="","",$U21-$T21-$V21)</f>
        <v/>
      </c>
      <c r="X21" s="15" t="str">
        <f aca="false">IF($A21="","",IF($U21=0,0,$W21/$U21))</f>
        <v/>
      </c>
      <c r="Y21" s="7" t="str">
        <f aca="false">IF($A21="","",$W21*$C21)</f>
        <v/>
      </c>
      <c r="Z21" s="7" t="str">
        <f aca="false">IF($A21="","",IF($H21&gt;=1,0,$T21/(1-$H21)*(1+پارامترها!$B$21)))</f>
        <v/>
      </c>
      <c r="AA21" s="7" t="str">
        <f aca="false">IF($A21="","",IF($AE21=0,0,($AG21-$AF21)/$AE21))</f>
        <v/>
      </c>
      <c r="AB21" s="15" t="str">
        <f aca="false">IF($A21="","",IF(پارامترها!$B$6=0,0,($AA21-پارامترها!$B$6)/پارامترها!$B$6))</f>
        <v/>
      </c>
      <c r="AC21" s="15" t="str">
        <f aca="false">IF($A21="","",IF(OR($S21=0,$I21=0),0,$Y21/$S21*365/$I21))</f>
        <v/>
      </c>
      <c r="AD21" s="15" t="str">
        <f aca="false">IF($A21="","",IF($F21=0,0,($G21-$F21)/$F21))</f>
        <v/>
      </c>
      <c r="AE21" s="7" t="str">
        <f aca="false">IF($A21="","",($B21*$C21*(1+پارامترها!$B$14)+$D21*پارامترها!$B$13)*(1+پارامترها!$B$15)*IF(پارامترها!$B$22="بله",1+پارامترها!$B$21,1))</f>
        <v/>
      </c>
      <c r="AF21" s="7" t="str">
        <f aca="false">IF($A21="","",$O21+$P21+$Q21)</f>
        <v/>
      </c>
      <c r="AG21" s="7" t="str">
        <f aca="false">IF($A21="","",($U21-$V21)*$C21)</f>
        <v/>
      </c>
    </row>
    <row r="22" customFormat="false" ht="15" hidden="false" customHeight="false" outlineLevel="0" collapsed="false">
      <c r="A22" s="8"/>
      <c r="B22" s="9"/>
      <c r="C22" s="5"/>
      <c r="D22" s="14"/>
      <c r="E22" s="5"/>
      <c r="F22" s="5"/>
      <c r="G22" s="5"/>
      <c r="H22" s="10"/>
      <c r="I22" s="5"/>
      <c r="J22" s="7" t="str">
        <f aca="false">IF($A22="","",$B22*$C22*پارامترها!$B$6)</f>
        <v/>
      </c>
      <c r="K22" s="7" t="str">
        <f aca="false">IF($A22="","",$D22*پارامترها!$B$13*پارامترها!$B$6)</f>
        <v/>
      </c>
      <c r="L22" s="7" t="str">
        <f aca="false">IF($A22="","",$J22*پارامترها!$B$14)</f>
        <v/>
      </c>
      <c r="M22" s="7" t="str">
        <f aca="false">IF($A22="","",$J22+$K22+$L22)</f>
        <v/>
      </c>
      <c r="N22" s="7" t="str">
        <f aca="false">IF($A22="","",$M22*پارامترها!$B$15)</f>
        <v/>
      </c>
      <c r="O22" s="7" t="str">
        <f aca="false">IF($A22="","",$D22*پارامترها!$B$16)</f>
        <v/>
      </c>
      <c r="P22" s="7" t="str">
        <f aca="false">IF($A22="","",پارامترها!$B$19*IF(پارامترها!$B$20="وزن",IF(SUM($D$5:$D$29)=0,0,$D22/SUM($D$5:$D$29)),IF(SUMPRODUCT($B$5:$B$29,$C$5:$C$29)=0,0,$B22*$C22/SUMPRODUCT($B$5:$B$29,$C$5:$C$29))))</f>
        <v/>
      </c>
      <c r="Q22" s="7" t="str">
        <f aca="false">IF($A22="","",$E22*$C22)</f>
        <v/>
      </c>
      <c r="R22" s="7" t="str">
        <f aca="false">IF($A22="","",($M22+$N22)*پارامترها!$B$21)</f>
        <v/>
      </c>
      <c r="S22" s="7" t="str">
        <f aca="false">IF($A22="","",$J22+$K22+$L22+$N22+$O22+$P22+$Q22+IF(پارامترها!$B$22="بله",$R22,0))</f>
        <v/>
      </c>
      <c r="T22" s="7" t="str">
        <f aca="false">IF($A22="","",IF($C22=0,0,$S22/$C22))</f>
        <v/>
      </c>
      <c r="U22" s="7" t="str">
        <f aca="false">IF($A22="","",$G22/(1+پارامترها!$B$21))</f>
        <v/>
      </c>
      <c r="V22" s="7" t="str">
        <f aca="false">IF($A22="","",$U22*$H22)</f>
        <v/>
      </c>
      <c r="W22" s="7" t="str">
        <f aca="false">IF($A22="","",$U22-$T22-$V22)</f>
        <v/>
      </c>
      <c r="X22" s="15" t="str">
        <f aca="false">IF($A22="","",IF($U22=0,0,$W22/$U22))</f>
        <v/>
      </c>
      <c r="Y22" s="7" t="str">
        <f aca="false">IF($A22="","",$W22*$C22)</f>
        <v/>
      </c>
      <c r="Z22" s="7" t="str">
        <f aca="false">IF($A22="","",IF($H22&gt;=1,0,$T22/(1-$H22)*(1+پارامترها!$B$21)))</f>
        <v/>
      </c>
      <c r="AA22" s="7" t="str">
        <f aca="false">IF($A22="","",IF($AE22=0,0,($AG22-$AF22)/$AE22))</f>
        <v/>
      </c>
      <c r="AB22" s="15" t="str">
        <f aca="false">IF($A22="","",IF(پارامترها!$B$6=0,0,($AA22-پارامترها!$B$6)/پارامترها!$B$6))</f>
        <v/>
      </c>
      <c r="AC22" s="15" t="str">
        <f aca="false">IF($A22="","",IF(OR($S22=0,$I22=0),0,$Y22/$S22*365/$I22))</f>
        <v/>
      </c>
      <c r="AD22" s="15" t="str">
        <f aca="false">IF($A22="","",IF($F22=0,0,($G22-$F22)/$F22))</f>
        <v/>
      </c>
      <c r="AE22" s="7" t="str">
        <f aca="false">IF($A22="","",($B22*$C22*(1+پارامترها!$B$14)+$D22*پارامترها!$B$13)*(1+پارامترها!$B$15)*IF(پارامترها!$B$22="بله",1+پارامترها!$B$21,1))</f>
        <v/>
      </c>
      <c r="AF22" s="7" t="str">
        <f aca="false">IF($A22="","",$O22+$P22+$Q22)</f>
        <v/>
      </c>
      <c r="AG22" s="7" t="str">
        <f aca="false">IF($A22="","",($U22-$V22)*$C22)</f>
        <v/>
      </c>
    </row>
    <row r="23" customFormat="false" ht="15" hidden="false" customHeight="false" outlineLevel="0" collapsed="false">
      <c r="A23" s="8"/>
      <c r="B23" s="9"/>
      <c r="C23" s="5"/>
      <c r="D23" s="14"/>
      <c r="E23" s="5"/>
      <c r="F23" s="5"/>
      <c r="G23" s="5"/>
      <c r="H23" s="10"/>
      <c r="I23" s="5"/>
      <c r="J23" s="7" t="str">
        <f aca="false">IF($A23="","",$B23*$C23*پارامترها!$B$6)</f>
        <v/>
      </c>
      <c r="K23" s="7" t="str">
        <f aca="false">IF($A23="","",$D23*پارامترها!$B$13*پارامترها!$B$6)</f>
        <v/>
      </c>
      <c r="L23" s="7" t="str">
        <f aca="false">IF($A23="","",$J23*پارامترها!$B$14)</f>
        <v/>
      </c>
      <c r="M23" s="7" t="str">
        <f aca="false">IF($A23="","",$J23+$K23+$L23)</f>
        <v/>
      </c>
      <c r="N23" s="7" t="str">
        <f aca="false">IF($A23="","",$M23*پارامترها!$B$15)</f>
        <v/>
      </c>
      <c r="O23" s="7" t="str">
        <f aca="false">IF($A23="","",$D23*پارامترها!$B$16)</f>
        <v/>
      </c>
      <c r="P23" s="7" t="str">
        <f aca="false">IF($A23="","",پارامترها!$B$19*IF(پارامترها!$B$20="وزن",IF(SUM($D$5:$D$29)=0,0,$D23/SUM($D$5:$D$29)),IF(SUMPRODUCT($B$5:$B$29,$C$5:$C$29)=0,0,$B23*$C23/SUMPRODUCT($B$5:$B$29,$C$5:$C$29))))</f>
        <v/>
      </c>
      <c r="Q23" s="7" t="str">
        <f aca="false">IF($A23="","",$E23*$C23)</f>
        <v/>
      </c>
      <c r="R23" s="7" t="str">
        <f aca="false">IF($A23="","",($M23+$N23)*پارامترها!$B$21)</f>
        <v/>
      </c>
      <c r="S23" s="7" t="str">
        <f aca="false">IF($A23="","",$J23+$K23+$L23+$N23+$O23+$P23+$Q23+IF(پارامترها!$B$22="بله",$R23,0))</f>
        <v/>
      </c>
      <c r="T23" s="7" t="str">
        <f aca="false">IF($A23="","",IF($C23=0,0,$S23/$C23))</f>
        <v/>
      </c>
      <c r="U23" s="7" t="str">
        <f aca="false">IF($A23="","",$G23/(1+پارامترها!$B$21))</f>
        <v/>
      </c>
      <c r="V23" s="7" t="str">
        <f aca="false">IF($A23="","",$U23*$H23)</f>
        <v/>
      </c>
      <c r="W23" s="7" t="str">
        <f aca="false">IF($A23="","",$U23-$T23-$V23)</f>
        <v/>
      </c>
      <c r="X23" s="15" t="str">
        <f aca="false">IF($A23="","",IF($U23=0,0,$W23/$U23))</f>
        <v/>
      </c>
      <c r="Y23" s="7" t="str">
        <f aca="false">IF($A23="","",$W23*$C23)</f>
        <v/>
      </c>
      <c r="Z23" s="7" t="str">
        <f aca="false">IF($A23="","",IF($H23&gt;=1,0,$T23/(1-$H23)*(1+پارامترها!$B$21)))</f>
        <v/>
      </c>
      <c r="AA23" s="7" t="str">
        <f aca="false">IF($A23="","",IF($AE23=0,0,($AG23-$AF23)/$AE23))</f>
        <v/>
      </c>
      <c r="AB23" s="15" t="str">
        <f aca="false">IF($A23="","",IF(پارامترها!$B$6=0,0,($AA23-پارامترها!$B$6)/پارامترها!$B$6))</f>
        <v/>
      </c>
      <c r="AC23" s="15" t="str">
        <f aca="false">IF($A23="","",IF(OR($S23=0,$I23=0),0,$Y23/$S23*365/$I23))</f>
        <v/>
      </c>
      <c r="AD23" s="15" t="str">
        <f aca="false">IF($A23="","",IF($F23=0,0,($G23-$F23)/$F23))</f>
        <v/>
      </c>
      <c r="AE23" s="7" t="str">
        <f aca="false">IF($A23="","",($B23*$C23*(1+پارامترها!$B$14)+$D23*پارامترها!$B$13)*(1+پارامترها!$B$15)*IF(پارامترها!$B$22="بله",1+پارامترها!$B$21,1))</f>
        <v/>
      </c>
      <c r="AF23" s="7" t="str">
        <f aca="false">IF($A23="","",$O23+$P23+$Q23)</f>
        <v/>
      </c>
      <c r="AG23" s="7" t="str">
        <f aca="false">IF($A23="","",($U23-$V23)*$C23)</f>
        <v/>
      </c>
    </row>
    <row r="24" customFormat="false" ht="15" hidden="false" customHeight="false" outlineLevel="0" collapsed="false">
      <c r="A24" s="8"/>
      <c r="B24" s="9"/>
      <c r="C24" s="5"/>
      <c r="D24" s="14"/>
      <c r="E24" s="5"/>
      <c r="F24" s="5"/>
      <c r="G24" s="5"/>
      <c r="H24" s="10"/>
      <c r="I24" s="5"/>
      <c r="J24" s="7" t="str">
        <f aca="false">IF($A24="","",$B24*$C24*پارامترها!$B$6)</f>
        <v/>
      </c>
      <c r="K24" s="7" t="str">
        <f aca="false">IF($A24="","",$D24*پارامترها!$B$13*پارامترها!$B$6)</f>
        <v/>
      </c>
      <c r="L24" s="7" t="str">
        <f aca="false">IF($A24="","",$J24*پارامترها!$B$14)</f>
        <v/>
      </c>
      <c r="M24" s="7" t="str">
        <f aca="false">IF($A24="","",$J24+$K24+$L24)</f>
        <v/>
      </c>
      <c r="N24" s="7" t="str">
        <f aca="false">IF($A24="","",$M24*پارامترها!$B$15)</f>
        <v/>
      </c>
      <c r="O24" s="7" t="str">
        <f aca="false">IF($A24="","",$D24*پارامترها!$B$16)</f>
        <v/>
      </c>
      <c r="P24" s="7" t="str">
        <f aca="false">IF($A24="","",پارامترها!$B$19*IF(پارامترها!$B$20="وزن",IF(SUM($D$5:$D$29)=0,0,$D24/SUM($D$5:$D$29)),IF(SUMPRODUCT($B$5:$B$29,$C$5:$C$29)=0,0,$B24*$C24/SUMPRODUCT($B$5:$B$29,$C$5:$C$29))))</f>
        <v/>
      </c>
      <c r="Q24" s="7" t="str">
        <f aca="false">IF($A24="","",$E24*$C24)</f>
        <v/>
      </c>
      <c r="R24" s="7" t="str">
        <f aca="false">IF($A24="","",($M24+$N24)*پارامترها!$B$21)</f>
        <v/>
      </c>
      <c r="S24" s="7" t="str">
        <f aca="false">IF($A24="","",$J24+$K24+$L24+$N24+$O24+$P24+$Q24+IF(پارامترها!$B$22="بله",$R24,0))</f>
        <v/>
      </c>
      <c r="T24" s="7" t="str">
        <f aca="false">IF($A24="","",IF($C24=0,0,$S24/$C24))</f>
        <v/>
      </c>
      <c r="U24" s="7" t="str">
        <f aca="false">IF($A24="","",$G24/(1+پارامترها!$B$21))</f>
        <v/>
      </c>
      <c r="V24" s="7" t="str">
        <f aca="false">IF($A24="","",$U24*$H24)</f>
        <v/>
      </c>
      <c r="W24" s="7" t="str">
        <f aca="false">IF($A24="","",$U24-$T24-$V24)</f>
        <v/>
      </c>
      <c r="X24" s="15" t="str">
        <f aca="false">IF($A24="","",IF($U24=0,0,$W24/$U24))</f>
        <v/>
      </c>
      <c r="Y24" s="7" t="str">
        <f aca="false">IF($A24="","",$W24*$C24)</f>
        <v/>
      </c>
      <c r="Z24" s="7" t="str">
        <f aca="false">IF($A24="","",IF($H24&gt;=1,0,$T24/(1-$H24)*(1+پارامترها!$B$21)))</f>
        <v/>
      </c>
      <c r="AA24" s="7" t="str">
        <f aca="false">IF($A24="","",IF($AE24=0,0,($AG24-$AF24)/$AE24))</f>
        <v/>
      </c>
      <c r="AB24" s="15" t="str">
        <f aca="false">IF($A24="","",IF(پارامترها!$B$6=0,0,($AA24-پارامترها!$B$6)/پارامترها!$B$6))</f>
        <v/>
      </c>
      <c r="AC24" s="15" t="str">
        <f aca="false">IF($A24="","",IF(OR($S24=0,$I24=0),0,$Y24/$S24*365/$I24))</f>
        <v/>
      </c>
      <c r="AD24" s="15" t="str">
        <f aca="false">IF($A24="","",IF($F24=0,0,($G24-$F24)/$F24))</f>
        <v/>
      </c>
      <c r="AE24" s="7" t="str">
        <f aca="false">IF($A24="","",($B24*$C24*(1+پارامترها!$B$14)+$D24*پارامترها!$B$13)*(1+پارامترها!$B$15)*IF(پارامترها!$B$22="بله",1+پارامترها!$B$21,1))</f>
        <v/>
      </c>
      <c r="AF24" s="7" t="str">
        <f aca="false">IF($A24="","",$O24+$P24+$Q24)</f>
        <v/>
      </c>
      <c r="AG24" s="7" t="str">
        <f aca="false">IF($A24="","",($U24-$V24)*$C24)</f>
        <v/>
      </c>
    </row>
    <row r="25" customFormat="false" ht="15" hidden="false" customHeight="false" outlineLevel="0" collapsed="false">
      <c r="A25" s="8"/>
      <c r="B25" s="9"/>
      <c r="C25" s="5"/>
      <c r="D25" s="14"/>
      <c r="E25" s="5"/>
      <c r="F25" s="5"/>
      <c r="G25" s="5"/>
      <c r="H25" s="10"/>
      <c r="I25" s="5"/>
      <c r="J25" s="7" t="str">
        <f aca="false">IF($A25="","",$B25*$C25*پارامترها!$B$6)</f>
        <v/>
      </c>
      <c r="K25" s="7" t="str">
        <f aca="false">IF($A25="","",$D25*پارامترها!$B$13*پارامترها!$B$6)</f>
        <v/>
      </c>
      <c r="L25" s="7" t="str">
        <f aca="false">IF($A25="","",$J25*پارامترها!$B$14)</f>
        <v/>
      </c>
      <c r="M25" s="7" t="str">
        <f aca="false">IF($A25="","",$J25+$K25+$L25)</f>
        <v/>
      </c>
      <c r="N25" s="7" t="str">
        <f aca="false">IF($A25="","",$M25*پارامترها!$B$15)</f>
        <v/>
      </c>
      <c r="O25" s="7" t="str">
        <f aca="false">IF($A25="","",$D25*پارامترها!$B$16)</f>
        <v/>
      </c>
      <c r="P25" s="7" t="str">
        <f aca="false">IF($A25="","",پارامترها!$B$19*IF(پارامترها!$B$20="وزن",IF(SUM($D$5:$D$29)=0,0,$D25/SUM($D$5:$D$29)),IF(SUMPRODUCT($B$5:$B$29,$C$5:$C$29)=0,0,$B25*$C25/SUMPRODUCT($B$5:$B$29,$C$5:$C$29))))</f>
        <v/>
      </c>
      <c r="Q25" s="7" t="str">
        <f aca="false">IF($A25="","",$E25*$C25)</f>
        <v/>
      </c>
      <c r="R25" s="7" t="str">
        <f aca="false">IF($A25="","",($M25+$N25)*پارامترها!$B$21)</f>
        <v/>
      </c>
      <c r="S25" s="7" t="str">
        <f aca="false">IF($A25="","",$J25+$K25+$L25+$N25+$O25+$P25+$Q25+IF(پارامترها!$B$22="بله",$R25,0))</f>
        <v/>
      </c>
      <c r="T25" s="7" t="str">
        <f aca="false">IF($A25="","",IF($C25=0,0,$S25/$C25))</f>
        <v/>
      </c>
      <c r="U25" s="7" t="str">
        <f aca="false">IF($A25="","",$G25/(1+پارامترها!$B$21))</f>
        <v/>
      </c>
      <c r="V25" s="7" t="str">
        <f aca="false">IF($A25="","",$U25*$H25)</f>
        <v/>
      </c>
      <c r="W25" s="7" t="str">
        <f aca="false">IF($A25="","",$U25-$T25-$V25)</f>
        <v/>
      </c>
      <c r="X25" s="15" t="str">
        <f aca="false">IF($A25="","",IF($U25=0,0,$W25/$U25))</f>
        <v/>
      </c>
      <c r="Y25" s="7" t="str">
        <f aca="false">IF($A25="","",$W25*$C25)</f>
        <v/>
      </c>
      <c r="Z25" s="7" t="str">
        <f aca="false">IF($A25="","",IF($H25&gt;=1,0,$T25/(1-$H25)*(1+پارامترها!$B$21)))</f>
        <v/>
      </c>
      <c r="AA25" s="7" t="str">
        <f aca="false">IF($A25="","",IF($AE25=0,0,($AG25-$AF25)/$AE25))</f>
        <v/>
      </c>
      <c r="AB25" s="15" t="str">
        <f aca="false">IF($A25="","",IF(پارامترها!$B$6=0,0,($AA25-پارامترها!$B$6)/پارامترها!$B$6))</f>
        <v/>
      </c>
      <c r="AC25" s="15" t="str">
        <f aca="false">IF($A25="","",IF(OR($S25=0,$I25=0),0,$Y25/$S25*365/$I25))</f>
        <v/>
      </c>
      <c r="AD25" s="15" t="str">
        <f aca="false">IF($A25="","",IF($F25=0,0,($G25-$F25)/$F25))</f>
        <v/>
      </c>
      <c r="AE25" s="7" t="str">
        <f aca="false">IF($A25="","",($B25*$C25*(1+پارامترها!$B$14)+$D25*پارامترها!$B$13)*(1+پارامترها!$B$15)*IF(پارامترها!$B$22="بله",1+پارامترها!$B$21,1))</f>
        <v/>
      </c>
      <c r="AF25" s="7" t="str">
        <f aca="false">IF($A25="","",$O25+$P25+$Q25)</f>
        <v/>
      </c>
      <c r="AG25" s="7" t="str">
        <f aca="false">IF($A25="","",($U25-$V25)*$C25)</f>
        <v/>
      </c>
    </row>
    <row r="26" customFormat="false" ht="15" hidden="false" customHeight="false" outlineLevel="0" collapsed="false">
      <c r="A26" s="8"/>
      <c r="B26" s="9"/>
      <c r="C26" s="5"/>
      <c r="D26" s="14"/>
      <c r="E26" s="5"/>
      <c r="F26" s="5"/>
      <c r="G26" s="5"/>
      <c r="H26" s="10"/>
      <c r="I26" s="5"/>
      <c r="J26" s="7" t="str">
        <f aca="false">IF($A26="","",$B26*$C26*پارامترها!$B$6)</f>
        <v/>
      </c>
      <c r="K26" s="7" t="str">
        <f aca="false">IF($A26="","",$D26*پارامترها!$B$13*پارامترها!$B$6)</f>
        <v/>
      </c>
      <c r="L26" s="7" t="str">
        <f aca="false">IF($A26="","",$J26*پارامترها!$B$14)</f>
        <v/>
      </c>
      <c r="M26" s="7" t="str">
        <f aca="false">IF($A26="","",$J26+$K26+$L26)</f>
        <v/>
      </c>
      <c r="N26" s="7" t="str">
        <f aca="false">IF($A26="","",$M26*پارامترها!$B$15)</f>
        <v/>
      </c>
      <c r="O26" s="7" t="str">
        <f aca="false">IF($A26="","",$D26*پارامترها!$B$16)</f>
        <v/>
      </c>
      <c r="P26" s="7" t="str">
        <f aca="false">IF($A26="","",پارامترها!$B$19*IF(پارامترها!$B$20="وزن",IF(SUM($D$5:$D$29)=0,0,$D26/SUM($D$5:$D$29)),IF(SUMPRODUCT($B$5:$B$29,$C$5:$C$29)=0,0,$B26*$C26/SUMPRODUCT($B$5:$B$29,$C$5:$C$29))))</f>
        <v/>
      </c>
      <c r="Q26" s="7" t="str">
        <f aca="false">IF($A26="","",$E26*$C26)</f>
        <v/>
      </c>
      <c r="R26" s="7" t="str">
        <f aca="false">IF($A26="","",($M26+$N26)*پارامترها!$B$21)</f>
        <v/>
      </c>
      <c r="S26" s="7" t="str">
        <f aca="false">IF($A26="","",$J26+$K26+$L26+$N26+$O26+$P26+$Q26+IF(پارامترها!$B$22="بله",$R26,0))</f>
        <v/>
      </c>
      <c r="T26" s="7" t="str">
        <f aca="false">IF($A26="","",IF($C26=0,0,$S26/$C26))</f>
        <v/>
      </c>
      <c r="U26" s="7" t="str">
        <f aca="false">IF($A26="","",$G26/(1+پارامترها!$B$21))</f>
        <v/>
      </c>
      <c r="V26" s="7" t="str">
        <f aca="false">IF($A26="","",$U26*$H26)</f>
        <v/>
      </c>
      <c r="W26" s="7" t="str">
        <f aca="false">IF($A26="","",$U26-$T26-$V26)</f>
        <v/>
      </c>
      <c r="X26" s="15" t="str">
        <f aca="false">IF($A26="","",IF($U26=0,0,$W26/$U26))</f>
        <v/>
      </c>
      <c r="Y26" s="7" t="str">
        <f aca="false">IF($A26="","",$W26*$C26)</f>
        <v/>
      </c>
      <c r="Z26" s="7" t="str">
        <f aca="false">IF($A26="","",IF($H26&gt;=1,0,$T26/(1-$H26)*(1+پارامترها!$B$21)))</f>
        <v/>
      </c>
      <c r="AA26" s="7" t="str">
        <f aca="false">IF($A26="","",IF($AE26=0,0,($AG26-$AF26)/$AE26))</f>
        <v/>
      </c>
      <c r="AB26" s="15" t="str">
        <f aca="false">IF($A26="","",IF(پارامترها!$B$6=0,0,($AA26-پارامترها!$B$6)/پارامترها!$B$6))</f>
        <v/>
      </c>
      <c r="AC26" s="15" t="str">
        <f aca="false">IF($A26="","",IF(OR($S26=0,$I26=0),0,$Y26/$S26*365/$I26))</f>
        <v/>
      </c>
      <c r="AD26" s="15" t="str">
        <f aca="false">IF($A26="","",IF($F26=0,0,($G26-$F26)/$F26))</f>
        <v/>
      </c>
      <c r="AE26" s="7" t="str">
        <f aca="false">IF($A26="","",($B26*$C26*(1+پارامترها!$B$14)+$D26*پارامترها!$B$13)*(1+پارامترها!$B$15)*IF(پارامترها!$B$22="بله",1+پارامترها!$B$21,1))</f>
        <v/>
      </c>
      <c r="AF26" s="7" t="str">
        <f aca="false">IF($A26="","",$O26+$P26+$Q26)</f>
        <v/>
      </c>
      <c r="AG26" s="7" t="str">
        <f aca="false">IF($A26="","",($U26-$V26)*$C26)</f>
        <v/>
      </c>
    </row>
    <row r="27" customFormat="false" ht="15" hidden="false" customHeight="false" outlineLevel="0" collapsed="false">
      <c r="A27" s="8"/>
      <c r="B27" s="9"/>
      <c r="C27" s="5"/>
      <c r="D27" s="14"/>
      <c r="E27" s="5"/>
      <c r="F27" s="5"/>
      <c r="G27" s="5"/>
      <c r="H27" s="10"/>
      <c r="I27" s="5"/>
      <c r="J27" s="7" t="str">
        <f aca="false">IF($A27="","",$B27*$C27*پارامترها!$B$6)</f>
        <v/>
      </c>
      <c r="K27" s="7" t="str">
        <f aca="false">IF($A27="","",$D27*پارامترها!$B$13*پارامترها!$B$6)</f>
        <v/>
      </c>
      <c r="L27" s="7" t="str">
        <f aca="false">IF($A27="","",$J27*پارامترها!$B$14)</f>
        <v/>
      </c>
      <c r="M27" s="7" t="str">
        <f aca="false">IF($A27="","",$J27+$K27+$L27)</f>
        <v/>
      </c>
      <c r="N27" s="7" t="str">
        <f aca="false">IF($A27="","",$M27*پارامترها!$B$15)</f>
        <v/>
      </c>
      <c r="O27" s="7" t="str">
        <f aca="false">IF($A27="","",$D27*پارامترها!$B$16)</f>
        <v/>
      </c>
      <c r="P27" s="7" t="str">
        <f aca="false">IF($A27="","",پارامترها!$B$19*IF(پارامترها!$B$20="وزن",IF(SUM($D$5:$D$29)=0,0,$D27/SUM($D$5:$D$29)),IF(SUMPRODUCT($B$5:$B$29,$C$5:$C$29)=0,0,$B27*$C27/SUMPRODUCT($B$5:$B$29,$C$5:$C$29))))</f>
        <v/>
      </c>
      <c r="Q27" s="7" t="str">
        <f aca="false">IF($A27="","",$E27*$C27)</f>
        <v/>
      </c>
      <c r="R27" s="7" t="str">
        <f aca="false">IF($A27="","",($M27+$N27)*پارامترها!$B$21)</f>
        <v/>
      </c>
      <c r="S27" s="7" t="str">
        <f aca="false">IF($A27="","",$J27+$K27+$L27+$N27+$O27+$P27+$Q27+IF(پارامترها!$B$22="بله",$R27,0))</f>
        <v/>
      </c>
      <c r="T27" s="7" t="str">
        <f aca="false">IF($A27="","",IF($C27=0,0,$S27/$C27))</f>
        <v/>
      </c>
      <c r="U27" s="7" t="str">
        <f aca="false">IF($A27="","",$G27/(1+پارامترها!$B$21))</f>
        <v/>
      </c>
      <c r="V27" s="7" t="str">
        <f aca="false">IF($A27="","",$U27*$H27)</f>
        <v/>
      </c>
      <c r="W27" s="7" t="str">
        <f aca="false">IF($A27="","",$U27-$T27-$V27)</f>
        <v/>
      </c>
      <c r="X27" s="15" t="str">
        <f aca="false">IF($A27="","",IF($U27=0,0,$W27/$U27))</f>
        <v/>
      </c>
      <c r="Y27" s="7" t="str">
        <f aca="false">IF($A27="","",$W27*$C27)</f>
        <v/>
      </c>
      <c r="Z27" s="7" t="str">
        <f aca="false">IF($A27="","",IF($H27&gt;=1,0,$T27/(1-$H27)*(1+پارامترها!$B$21)))</f>
        <v/>
      </c>
      <c r="AA27" s="7" t="str">
        <f aca="false">IF($A27="","",IF($AE27=0,0,($AG27-$AF27)/$AE27))</f>
        <v/>
      </c>
      <c r="AB27" s="15" t="str">
        <f aca="false">IF($A27="","",IF(پارامترها!$B$6=0,0,($AA27-پارامترها!$B$6)/پارامترها!$B$6))</f>
        <v/>
      </c>
      <c r="AC27" s="15" t="str">
        <f aca="false">IF($A27="","",IF(OR($S27=0,$I27=0),0,$Y27/$S27*365/$I27))</f>
        <v/>
      </c>
      <c r="AD27" s="15" t="str">
        <f aca="false">IF($A27="","",IF($F27=0,0,($G27-$F27)/$F27))</f>
        <v/>
      </c>
      <c r="AE27" s="7" t="str">
        <f aca="false">IF($A27="","",($B27*$C27*(1+پارامترها!$B$14)+$D27*پارامترها!$B$13)*(1+پارامترها!$B$15)*IF(پارامترها!$B$22="بله",1+پارامترها!$B$21,1))</f>
        <v/>
      </c>
      <c r="AF27" s="7" t="str">
        <f aca="false">IF($A27="","",$O27+$P27+$Q27)</f>
        <v/>
      </c>
      <c r="AG27" s="7" t="str">
        <f aca="false">IF($A27="","",($U27-$V27)*$C27)</f>
        <v/>
      </c>
    </row>
    <row r="28" customFormat="false" ht="15" hidden="false" customHeight="false" outlineLevel="0" collapsed="false">
      <c r="A28" s="8"/>
      <c r="B28" s="9"/>
      <c r="C28" s="5"/>
      <c r="D28" s="14"/>
      <c r="E28" s="5"/>
      <c r="F28" s="5"/>
      <c r="G28" s="5"/>
      <c r="H28" s="10"/>
      <c r="I28" s="5"/>
      <c r="J28" s="7" t="str">
        <f aca="false">IF($A28="","",$B28*$C28*پارامترها!$B$6)</f>
        <v/>
      </c>
      <c r="K28" s="7" t="str">
        <f aca="false">IF($A28="","",$D28*پارامترها!$B$13*پارامترها!$B$6)</f>
        <v/>
      </c>
      <c r="L28" s="7" t="str">
        <f aca="false">IF($A28="","",$J28*پارامترها!$B$14)</f>
        <v/>
      </c>
      <c r="M28" s="7" t="str">
        <f aca="false">IF($A28="","",$J28+$K28+$L28)</f>
        <v/>
      </c>
      <c r="N28" s="7" t="str">
        <f aca="false">IF($A28="","",$M28*پارامترها!$B$15)</f>
        <v/>
      </c>
      <c r="O28" s="7" t="str">
        <f aca="false">IF($A28="","",$D28*پارامترها!$B$16)</f>
        <v/>
      </c>
      <c r="P28" s="7" t="str">
        <f aca="false">IF($A28="","",پارامترها!$B$19*IF(پارامترها!$B$20="وزن",IF(SUM($D$5:$D$29)=0,0,$D28/SUM($D$5:$D$29)),IF(SUMPRODUCT($B$5:$B$29,$C$5:$C$29)=0,0,$B28*$C28/SUMPRODUCT($B$5:$B$29,$C$5:$C$29))))</f>
        <v/>
      </c>
      <c r="Q28" s="7" t="str">
        <f aca="false">IF($A28="","",$E28*$C28)</f>
        <v/>
      </c>
      <c r="R28" s="7" t="str">
        <f aca="false">IF($A28="","",($M28+$N28)*پارامترها!$B$21)</f>
        <v/>
      </c>
      <c r="S28" s="7" t="str">
        <f aca="false">IF($A28="","",$J28+$K28+$L28+$N28+$O28+$P28+$Q28+IF(پارامترها!$B$22="بله",$R28,0))</f>
        <v/>
      </c>
      <c r="T28" s="7" t="str">
        <f aca="false">IF($A28="","",IF($C28=0,0,$S28/$C28))</f>
        <v/>
      </c>
      <c r="U28" s="7" t="str">
        <f aca="false">IF($A28="","",$G28/(1+پارامترها!$B$21))</f>
        <v/>
      </c>
      <c r="V28" s="7" t="str">
        <f aca="false">IF($A28="","",$U28*$H28)</f>
        <v/>
      </c>
      <c r="W28" s="7" t="str">
        <f aca="false">IF($A28="","",$U28-$T28-$V28)</f>
        <v/>
      </c>
      <c r="X28" s="15" t="str">
        <f aca="false">IF($A28="","",IF($U28=0,0,$W28/$U28))</f>
        <v/>
      </c>
      <c r="Y28" s="7" t="str">
        <f aca="false">IF($A28="","",$W28*$C28)</f>
        <v/>
      </c>
      <c r="Z28" s="7" t="str">
        <f aca="false">IF($A28="","",IF($H28&gt;=1,0,$T28/(1-$H28)*(1+پارامترها!$B$21)))</f>
        <v/>
      </c>
      <c r="AA28" s="7" t="str">
        <f aca="false">IF($A28="","",IF($AE28=0,0,($AG28-$AF28)/$AE28))</f>
        <v/>
      </c>
      <c r="AB28" s="15" t="str">
        <f aca="false">IF($A28="","",IF(پارامترها!$B$6=0,0,($AA28-پارامترها!$B$6)/پارامترها!$B$6))</f>
        <v/>
      </c>
      <c r="AC28" s="15" t="str">
        <f aca="false">IF($A28="","",IF(OR($S28=0,$I28=0),0,$Y28/$S28*365/$I28))</f>
        <v/>
      </c>
      <c r="AD28" s="15" t="str">
        <f aca="false">IF($A28="","",IF($F28=0,0,($G28-$F28)/$F28))</f>
        <v/>
      </c>
      <c r="AE28" s="7" t="str">
        <f aca="false">IF($A28="","",($B28*$C28*(1+پارامترها!$B$14)+$D28*پارامترها!$B$13)*(1+پارامترها!$B$15)*IF(پارامترها!$B$22="بله",1+پارامترها!$B$21,1))</f>
        <v/>
      </c>
      <c r="AF28" s="7" t="str">
        <f aca="false">IF($A28="","",$O28+$P28+$Q28)</f>
        <v/>
      </c>
      <c r="AG28" s="7" t="str">
        <f aca="false">IF($A28="","",($U28-$V28)*$C28)</f>
        <v/>
      </c>
    </row>
    <row r="29" customFormat="false" ht="15" hidden="false" customHeight="false" outlineLevel="0" collapsed="false">
      <c r="A29" s="8"/>
      <c r="B29" s="9"/>
      <c r="C29" s="5"/>
      <c r="D29" s="14"/>
      <c r="E29" s="5"/>
      <c r="F29" s="5"/>
      <c r="G29" s="5"/>
      <c r="H29" s="10"/>
      <c r="I29" s="5"/>
      <c r="J29" s="7" t="str">
        <f aca="false">IF($A29="","",$B29*$C29*پارامترها!$B$6)</f>
        <v/>
      </c>
      <c r="K29" s="7" t="str">
        <f aca="false">IF($A29="","",$D29*پارامترها!$B$13*پارامترها!$B$6)</f>
        <v/>
      </c>
      <c r="L29" s="7" t="str">
        <f aca="false">IF($A29="","",$J29*پارامترها!$B$14)</f>
        <v/>
      </c>
      <c r="M29" s="7" t="str">
        <f aca="false">IF($A29="","",$J29+$K29+$L29)</f>
        <v/>
      </c>
      <c r="N29" s="7" t="str">
        <f aca="false">IF($A29="","",$M29*پارامترها!$B$15)</f>
        <v/>
      </c>
      <c r="O29" s="7" t="str">
        <f aca="false">IF($A29="","",$D29*پارامترها!$B$16)</f>
        <v/>
      </c>
      <c r="P29" s="7" t="str">
        <f aca="false">IF($A29="","",پارامترها!$B$19*IF(پارامترها!$B$20="وزن",IF(SUM($D$5:$D$29)=0,0,$D29/SUM($D$5:$D$29)),IF(SUMPRODUCT($B$5:$B$29,$C$5:$C$29)=0,0,$B29*$C29/SUMPRODUCT($B$5:$B$29,$C$5:$C$29))))</f>
        <v/>
      </c>
      <c r="Q29" s="7" t="str">
        <f aca="false">IF($A29="","",$E29*$C29)</f>
        <v/>
      </c>
      <c r="R29" s="7" t="str">
        <f aca="false">IF($A29="","",($M29+$N29)*پارامترها!$B$21)</f>
        <v/>
      </c>
      <c r="S29" s="7" t="str">
        <f aca="false">IF($A29="","",$J29+$K29+$L29+$N29+$O29+$P29+$Q29+IF(پارامترها!$B$22="بله",$R29,0))</f>
        <v/>
      </c>
      <c r="T29" s="7" t="str">
        <f aca="false">IF($A29="","",IF($C29=0,0,$S29/$C29))</f>
        <v/>
      </c>
      <c r="U29" s="7" t="str">
        <f aca="false">IF($A29="","",$G29/(1+پارامترها!$B$21))</f>
        <v/>
      </c>
      <c r="V29" s="7" t="str">
        <f aca="false">IF($A29="","",$U29*$H29)</f>
        <v/>
      </c>
      <c r="W29" s="7" t="str">
        <f aca="false">IF($A29="","",$U29-$T29-$V29)</f>
        <v/>
      </c>
      <c r="X29" s="15" t="str">
        <f aca="false">IF($A29="","",IF($U29=0,0,$W29/$U29))</f>
        <v/>
      </c>
      <c r="Y29" s="7" t="str">
        <f aca="false">IF($A29="","",$W29*$C29)</f>
        <v/>
      </c>
      <c r="Z29" s="7" t="str">
        <f aca="false">IF($A29="","",IF($H29&gt;=1,0,$T29/(1-$H29)*(1+پارامترها!$B$21)))</f>
        <v/>
      </c>
      <c r="AA29" s="7" t="str">
        <f aca="false">IF($A29="","",IF($AE29=0,0,($AG29-$AF29)/$AE29))</f>
        <v/>
      </c>
      <c r="AB29" s="15" t="str">
        <f aca="false">IF($A29="","",IF(پارامترها!$B$6=0,0,($AA29-پارامترها!$B$6)/پارامترها!$B$6))</f>
        <v/>
      </c>
      <c r="AC29" s="15" t="str">
        <f aca="false">IF($A29="","",IF(OR($S29=0,$I29=0),0,$Y29/$S29*365/$I29))</f>
        <v/>
      </c>
      <c r="AD29" s="15" t="str">
        <f aca="false">IF($A29="","",IF($F29=0,0,($G29-$F29)/$F29))</f>
        <v/>
      </c>
      <c r="AE29" s="7" t="str">
        <f aca="false">IF($A29="","",($B29*$C29*(1+پارامترها!$B$14)+$D29*پارامترها!$B$13)*(1+پارامترها!$B$15)*IF(پارامترها!$B$22="بله",1+پارامترها!$B$21,1))</f>
        <v/>
      </c>
      <c r="AF29" s="7" t="str">
        <f aca="false">IF($A29="","",$O29+$P29+$Q29)</f>
        <v/>
      </c>
      <c r="AG29" s="7" t="str">
        <f aca="false">IF($A29="","",($U29-$V29)*$C29)</f>
        <v/>
      </c>
    </row>
    <row r="30" customFormat="false" ht="15" hidden="false" customHeight="false" outlineLevel="0" collapsed="false">
      <c r="A30" s="16" t="s">
        <v>83</v>
      </c>
      <c r="B30" s="17"/>
      <c r="C30" s="18" t="n">
        <f aca="false">SUM(C5:C29)</f>
        <v>3400</v>
      </c>
      <c r="D30" s="19" t="n">
        <f aca="false">SUM(D5:D29)</f>
        <v>170</v>
      </c>
      <c r="E30" s="18" t="n">
        <f aca="false">SUM(E5:E29)</f>
        <v>1900000</v>
      </c>
      <c r="F30" s="18" t="n">
        <f aca="false">SUM(F5:F29)</f>
        <v>211200000</v>
      </c>
      <c r="G30" s="18" t="n">
        <f aca="false">SUM(G5:G29)</f>
        <v>195500000</v>
      </c>
      <c r="H30" s="20"/>
      <c r="I30" s="18"/>
      <c r="J30" s="18" t="n">
        <f aca="false">SUM(J5:J29)</f>
        <v>27744026800</v>
      </c>
      <c r="K30" s="18" t="n">
        <f aca="false">SUM(K5:K29)</f>
        <v>133083650</v>
      </c>
      <c r="L30" s="18" t="n">
        <f aca="false">SUM(L5:L29)</f>
        <v>138720134</v>
      </c>
      <c r="M30" s="18" t="n">
        <f aca="false">SUM(M5:M29)</f>
        <v>28015830584</v>
      </c>
      <c r="N30" s="18" t="n">
        <f aca="false">SUM(N5:N29)</f>
        <v>11206332233.6</v>
      </c>
      <c r="O30" s="18" t="n">
        <f aca="false">SUM(O5:O29)</f>
        <v>20400000</v>
      </c>
      <c r="P30" s="18" t="n">
        <f aca="false">SUM(P5:P29)</f>
        <v>1350000000</v>
      </c>
      <c r="Q30" s="18" t="n">
        <f aca="false">SUM(Q5:Q29)</f>
        <v>1140000000</v>
      </c>
      <c r="R30" s="18" t="n">
        <f aca="false">SUM(R5:R29)</f>
        <v>3922216281.76</v>
      </c>
      <c r="S30" s="18" t="n">
        <f aca="false">SUM(S5:S29)</f>
        <v>41732562817.6</v>
      </c>
      <c r="T30" s="18"/>
      <c r="U30" s="18"/>
      <c r="V30" s="18"/>
      <c r="W30" s="18"/>
      <c r="X30" s="20" t="n">
        <f aca="false">IF(SUMPRODUCT($U$5:$U$29,$C$5:$C$29)=0,0,$Y$30/SUMPRODUCT($U$5:$U$29,$C$5:$C$29))</f>
        <v>0.437075551380994</v>
      </c>
      <c r="Y30" s="18" t="n">
        <f aca="false">SUM(Y5:Y29)</f>
        <v>41184437182.4</v>
      </c>
      <c r="Z30" s="18"/>
      <c r="AA30" s="18"/>
      <c r="AB30" s="20"/>
      <c r="AC30" s="20"/>
      <c r="AD30" s="20"/>
      <c r="AE30" s="18" t="n">
        <f aca="false">SUM(AE5:AE29)</f>
        <v>125255.2</v>
      </c>
      <c r="AF30" s="18" t="n">
        <f aca="false">SUM(AF5:AF29)</f>
        <v>2510400000</v>
      </c>
      <c r="AG30" s="18" t="n">
        <f aca="false">SUM(AG5:AG29)</f>
        <v>82917000000</v>
      </c>
    </row>
    <row r="32" customFormat="false" ht="15" hidden="false" customHeight="false" outlineLevel="0" collapsed="false">
      <c r="A32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" t="s">
        <v>85</v>
      </c>
    </row>
    <row r="3" customFormat="false" ht="15" hidden="false" customHeight="false" outlineLevel="0" collapsed="false">
      <c r="A3" s="3" t="s">
        <v>86</v>
      </c>
      <c r="B3" s="21" t="s">
        <v>87</v>
      </c>
      <c r="C3" s="21" t="s">
        <v>88</v>
      </c>
    </row>
    <row r="4" customFormat="false" ht="15" hidden="false" customHeight="false" outlineLevel="0" collapsed="false">
      <c r="A4" s="22" t="s">
        <v>89</v>
      </c>
      <c r="B4" s="23" t="n">
        <f aca="false">SUMPRODUCT(کالاها!$B$5:$B$29,کالاها!$C$5:$C$29)</f>
        <v>88600</v>
      </c>
      <c r="D4" s="2" t="s">
        <v>90</v>
      </c>
    </row>
    <row r="5" customFormat="false" ht="15" hidden="false" customHeight="false" outlineLevel="0" collapsed="false">
      <c r="A5" s="22" t="s">
        <v>91</v>
      </c>
      <c r="B5" s="24" t="n">
        <f aca="false">کالاها!$D$30</f>
        <v>170</v>
      </c>
      <c r="D5" s="2"/>
    </row>
    <row r="6" customFormat="false" ht="15" hidden="false" customHeight="false" outlineLevel="0" collapsed="false">
      <c r="A6" s="22" t="s">
        <v>92</v>
      </c>
      <c r="B6" s="25" t="n">
        <f aca="false">کالاها!$S$30</f>
        <v>41732562817.6</v>
      </c>
      <c r="C6" s="26" t="n">
        <f aca="false">$B6/10</f>
        <v>4173256281.76</v>
      </c>
      <c r="D6" s="2" t="s">
        <v>93</v>
      </c>
    </row>
    <row r="7" customFormat="false" ht="15" hidden="false" customHeight="false" outlineLevel="0" collapsed="false">
      <c r="A7" s="22" t="s">
        <v>94</v>
      </c>
      <c r="B7" s="25" t="n">
        <f aca="false">کالاها!$R$30</f>
        <v>3922216281.76</v>
      </c>
      <c r="C7" s="26" t="n">
        <f aca="false">$B7/10</f>
        <v>392221628.176</v>
      </c>
      <c r="D7" s="2" t="s">
        <v>95</v>
      </c>
    </row>
    <row r="8" customFormat="false" ht="15" hidden="false" customHeight="false" outlineLevel="0" collapsed="false">
      <c r="A8" s="22" t="s">
        <v>96</v>
      </c>
      <c r="B8" s="25" t="n">
        <f aca="false">کالاها!$S$30+IF(پارامترها!$B$22="بله",0,کالاها!$R$30)</f>
        <v>45654779099.36</v>
      </c>
      <c r="C8" s="26" t="n">
        <f aca="false">$B8/10</f>
        <v>4565477909.936</v>
      </c>
      <c r="D8" s="2" t="s">
        <v>97</v>
      </c>
    </row>
    <row r="10" customFormat="false" ht="15" hidden="false" customHeight="false" outlineLevel="0" collapsed="false">
      <c r="A10" s="3" t="s">
        <v>98</v>
      </c>
      <c r="B10" s="21" t="s">
        <v>87</v>
      </c>
      <c r="C10" s="21" t="s">
        <v>88</v>
      </c>
    </row>
    <row r="11" customFormat="false" ht="15" hidden="false" customHeight="false" outlineLevel="0" collapsed="false">
      <c r="A11" s="22" t="s">
        <v>99</v>
      </c>
      <c r="B11" s="25" t="n">
        <f aca="false">SUMPRODUCT(کالاها!$U$5:$U$29,کالاها!$C$5:$C$29)</f>
        <v>94227272727.2727</v>
      </c>
      <c r="C11" s="26" t="n">
        <f aca="false">$B11/10</f>
        <v>9422727272.72727</v>
      </c>
      <c r="D11" s="2"/>
    </row>
    <row r="12" customFormat="false" ht="15" hidden="false" customHeight="false" outlineLevel="0" collapsed="false">
      <c r="A12" s="22" t="s">
        <v>100</v>
      </c>
      <c r="B12" s="25" t="n">
        <f aca="false">کالاها!$Y$30</f>
        <v>41184437182.4</v>
      </c>
      <c r="C12" s="26" t="n">
        <f aca="false">$B12/10</f>
        <v>4118443718.24</v>
      </c>
      <c r="D12" s="2" t="s">
        <v>101</v>
      </c>
    </row>
    <row r="13" customFormat="false" ht="15" hidden="false" customHeight="false" outlineLevel="0" collapsed="false">
      <c r="A13" s="22" t="s">
        <v>102</v>
      </c>
      <c r="B13" s="27" t="n">
        <f aca="false">IF($B11=0,0,$B12/$B11)</f>
        <v>0.437075551380994</v>
      </c>
      <c r="D13" s="2" t="s">
        <v>103</v>
      </c>
    </row>
    <row r="14" customFormat="false" ht="15" hidden="false" customHeight="false" outlineLevel="0" collapsed="false">
      <c r="A14" s="22" t="s">
        <v>104</v>
      </c>
      <c r="B14" s="27" t="n">
        <f aca="false">IF(کالاها!$S$30=0,0,کالاها!$Y$30/کالاها!$S$30)</f>
        <v>0.986865756661155</v>
      </c>
      <c r="D14" s="2" t="s">
        <v>105</v>
      </c>
    </row>
    <row r="15" customFormat="false" ht="15" hidden="false" customHeight="false" outlineLevel="0" collapsed="false">
      <c r="A15" s="22" t="s">
        <v>106</v>
      </c>
      <c r="B15" s="24" t="n">
        <f aca="false">IF(کالاها!$S$30=0,0,SUMPRODUCT(کالاها!$I$5:$I$29,کالاها!$S$5:$S$29)/کالاها!$S$30)</f>
        <v>79.6989104163455</v>
      </c>
      <c r="D15" s="2" t="s">
        <v>107</v>
      </c>
    </row>
    <row r="16" customFormat="false" ht="15" hidden="false" customHeight="false" outlineLevel="0" collapsed="false">
      <c r="A16" s="22" t="s">
        <v>108</v>
      </c>
      <c r="B16" s="27" t="n">
        <f aca="false">IF($B15=0,0,$B14*365/$B15)</f>
        <v>4.51958501439496</v>
      </c>
      <c r="D16" s="2" t="s">
        <v>109</v>
      </c>
    </row>
    <row r="18" customFormat="false" ht="15" hidden="false" customHeight="false" outlineLevel="0" collapsed="false">
      <c r="A18" s="3" t="s">
        <v>110</v>
      </c>
    </row>
    <row r="19" customFormat="false" ht="15" hidden="false" customHeight="false" outlineLevel="0" collapsed="false">
      <c r="A19" s="22" t="s">
        <v>111</v>
      </c>
      <c r="B19" s="25" t="n">
        <f aca="false">IF(کالاها!$AE$30=0,0,(کالاها!$AG$30-کالاها!$AF$30)/کالاها!$AE$30)</f>
        <v>641942.210782467</v>
      </c>
      <c r="D19" s="2" t="s">
        <v>112</v>
      </c>
    </row>
    <row r="20" customFormat="false" ht="15" hidden="false" customHeight="false" outlineLevel="0" collapsed="false">
      <c r="A20" s="22" t="s">
        <v>113</v>
      </c>
      <c r="B20" s="25" t="n">
        <f aca="false">پارامترها!$B$6</f>
        <v>313138</v>
      </c>
    </row>
    <row r="21" customFormat="false" ht="15" hidden="false" customHeight="false" outlineLevel="0" collapsed="false">
      <c r="A21" s="22" t="s">
        <v>114</v>
      </c>
      <c r="B21" s="27" t="n">
        <f aca="false">IF(پارامترها!$B$6=0,0,($B19-پارامترها!$B$6)/پارامترها!$B$6)</f>
        <v>1.05002973379937</v>
      </c>
      <c r="D21" s="2" t="s">
        <v>115</v>
      </c>
    </row>
    <row r="22" customFormat="false" ht="15" hidden="false" customHeight="false" outlineLevel="0" collapsed="false">
      <c r="A22" s="22" t="s">
        <v>116</v>
      </c>
      <c r="B22" s="25" t="n">
        <f aca="false">(پارامترها!$B$6-پارامترها!$B$9)*کالاها!$AE$30</f>
        <v>0</v>
      </c>
      <c r="C22" s="26" t="n">
        <f aca="false">$B22/10</f>
        <v>0</v>
      </c>
      <c r="D22" s="2" t="s">
        <v>117</v>
      </c>
    </row>
    <row r="23" customFormat="false" ht="15" hidden="false" customHeight="false" outlineLevel="0" collapsed="false">
      <c r="A23" s="22" t="s">
        <v>118</v>
      </c>
      <c r="B23" s="25" t="n">
        <f aca="false">کالاها!$Y$30-(پارامترها!$B$6-پارامترها!$B$9)*کالاها!$AE$30</f>
        <v>41184437182.4</v>
      </c>
      <c r="C23" s="26" t="n">
        <f aca="false">$B23/10</f>
        <v>4118443718.24</v>
      </c>
      <c r="D23" s="2" t="s">
        <v>119</v>
      </c>
    </row>
    <row r="25" customFormat="false" ht="15" hidden="false" customHeight="false" outlineLevel="0" collapsed="false">
      <c r="A25" s="3" t="s">
        <v>120</v>
      </c>
    </row>
    <row r="26" customFormat="false" ht="15" hidden="false" customHeight="false" outlineLevel="0" collapsed="false">
      <c r="A26" s="13" t="s">
        <v>121</v>
      </c>
      <c r="B26" s="13" t="s">
        <v>122</v>
      </c>
      <c r="C26" s="13" t="s">
        <v>123</v>
      </c>
      <c r="D26" s="13" t="s">
        <v>124</v>
      </c>
      <c r="E26" s="13" t="s">
        <v>125</v>
      </c>
    </row>
    <row r="27" customFormat="false" ht="15" hidden="false" customHeight="false" outlineLevel="0" collapsed="false">
      <c r="A27" s="10" t="n">
        <v>-0.2</v>
      </c>
      <c r="B27" s="26" t="n">
        <f aca="false">پارامترها!$B$6*(1+$A27)</f>
        <v>250510.4</v>
      </c>
      <c r="C27" s="26" t="n">
        <f aca="false">کالاها!$AE$30*$B27+کالاها!$AF$30</f>
        <v>33888130254.08</v>
      </c>
      <c r="D27" s="26" t="n">
        <f aca="false">کالاها!$AG$30-$C27</f>
        <v>49028869745.92</v>
      </c>
      <c r="E27" s="28" t="n">
        <f aca="false">IF(SUMPRODUCT(کالاها!$U$5:$U$29,کالاها!$C$5:$C$29)=0,0,$D27/SUMPRODUCT(کالاها!$U$5:$U$29,کالاها!$C$5:$C$29))</f>
        <v>0.520325679889165</v>
      </c>
    </row>
    <row r="28" customFormat="false" ht="15" hidden="false" customHeight="false" outlineLevel="0" collapsed="false">
      <c r="A28" s="10" t="n">
        <v>-0.1</v>
      </c>
      <c r="B28" s="26" t="n">
        <f aca="false">پارامترها!$B$6*(1+$A28)</f>
        <v>281824.2</v>
      </c>
      <c r="C28" s="26" t="n">
        <f aca="false">کالاها!$AE$30*$B28+کالاها!$AF$30</f>
        <v>37810346535.84</v>
      </c>
      <c r="D28" s="26" t="n">
        <f aca="false">کالاها!$AG$30-$C28</f>
        <v>45106653464.16</v>
      </c>
      <c r="E28" s="28" t="n">
        <f aca="false">IF(SUMPRODUCT(کالاها!$U$5:$U$29,کالاها!$C$5:$C$29)=0,0,$D28/SUMPRODUCT(کالاها!$U$5:$U$29,کالاها!$C$5:$C$29))</f>
        <v>0.47870061563508</v>
      </c>
    </row>
    <row r="29" customFormat="false" ht="15" hidden="false" customHeight="false" outlineLevel="0" collapsed="false">
      <c r="A29" s="10" t="n">
        <v>0</v>
      </c>
      <c r="B29" s="26" t="n">
        <f aca="false">پارامترها!$B$6*(1+$A29)</f>
        <v>313138</v>
      </c>
      <c r="C29" s="26" t="n">
        <f aca="false">کالاها!$AE$30*$B29+کالاها!$AF$30</f>
        <v>41732562817.6</v>
      </c>
      <c r="D29" s="26" t="n">
        <f aca="false">کالاها!$AG$30-$C29</f>
        <v>41184437182.4</v>
      </c>
      <c r="E29" s="28" t="n">
        <f aca="false">IF(SUMPRODUCT(کالاها!$U$5:$U$29,کالاها!$C$5:$C$29)=0,0,$D29/SUMPRODUCT(کالاها!$U$5:$U$29,کالاها!$C$5:$C$29))</f>
        <v>0.437075551380994</v>
      </c>
    </row>
    <row r="30" customFormat="false" ht="15" hidden="false" customHeight="false" outlineLevel="0" collapsed="false">
      <c r="A30" s="10" t="n">
        <v>0.1</v>
      </c>
      <c r="B30" s="26" t="n">
        <f aca="false">پارامترها!$B$6*(1+$A30)</f>
        <v>344451.8</v>
      </c>
      <c r="C30" s="26" t="n">
        <f aca="false">کالاها!$AE$30*$B30+کالاها!$AF$30</f>
        <v>45654779099.36</v>
      </c>
      <c r="D30" s="26" t="n">
        <f aca="false">کالاها!$AG$30-$C30</f>
        <v>37262220900.64</v>
      </c>
      <c r="E30" s="28" t="n">
        <f aca="false">IF(SUMPRODUCT(کالاها!$U$5:$U$29,کالاها!$C$5:$C$29)=0,0,$D30/SUMPRODUCT(کالاها!$U$5:$U$29,کالاها!$C$5:$C$29))</f>
        <v>0.395450487126908</v>
      </c>
    </row>
    <row r="31" customFormat="false" ht="15" hidden="false" customHeight="false" outlineLevel="0" collapsed="false">
      <c r="A31" s="10" t="n">
        <v>0.2</v>
      </c>
      <c r="B31" s="26" t="n">
        <f aca="false">پارامترها!$B$6*(1+$A31)</f>
        <v>375765.6</v>
      </c>
      <c r="C31" s="26" t="n">
        <f aca="false">کالاها!$AE$30*$B31+کالاها!$AF$30</f>
        <v>49576995381.12</v>
      </c>
      <c r="D31" s="26" t="n">
        <f aca="false">کالاها!$AG$30-$C31</f>
        <v>33340004618.88</v>
      </c>
      <c r="E31" s="28" t="n">
        <f aca="false">IF(SUMPRODUCT(کالاها!$U$5:$U$29,کالاها!$C$5:$C$29)=0,0,$D31/SUMPRODUCT(کالاها!$U$5:$U$29,کالاها!$C$5:$C$29))</f>
        <v>0.353825422872822</v>
      </c>
    </row>
    <row r="32" customFormat="false" ht="15" hidden="false" customHeight="false" outlineLevel="0" collapsed="false">
      <c r="A32" s="10" t="n">
        <v>0.3</v>
      </c>
      <c r="B32" s="26" t="n">
        <f aca="false">پارامترها!$B$6*(1+$A32)</f>
        <v>407079.4</v>
      </c>
      <c r="C32" s="26" t="n">
        <f aca="false">کالاها!$AE$30*$B32+کالاها!$AF$30</f>
        <v>53499211662.88</v>
      </c>
      <c r="D32" s="26" t="n">
        <f aca="false">کالاها!$AG$30-$C32</f>
        <v>29417788337.12</v>
      </c>
      <c r="E32" s="28" t="n">
        <f aca="false">IF(SUMPRODUCT(کالاها!$U$5:$U$29,کالاها!$C$5:$C$29)=0,0,$D32/SUMPRODUCT(کالاها!$U$5:$U$29,کالاها!$C$5:$C$29))</f>
        <v>0.312200358618736</v>
      </c>
    </row>
    <row r="33" customFormat="false" ht="15" hidden="false" customHeight="false" outlineLevel="0" collapsed="false">
      <c r="A33" s="10" t="n">
        <v>0.4</v>
      </c>
      <c r="B33" s="26" t="n">
        <f aca="false">پارامترها!$B$6*(1+$A33)</f>
        <v>438393.2</v>
      </c>
      <c r="C33" s="26" t="n">
        <f aca="false">کالاها!$AE$30*$B33+کالاها!$AF$30</f>
        <v>57421427944.64</v>
      </c>
      <c r="D33" s="26" t="n">
        <f aca="false">کالاها!$AG$30-$C33</f>
        <v>25495572055.36</v>
      </c>
      <c r="E33" s="28" t="n">
        <f aca="false">IF(SUMPRODUCT(کالاها!$U$5:$U$29,کالاها!$C$5:$C$29)=0,0,$D33/SUMPRODUCT(کالاها!$U$5:$U$29,کالاها!$C$5:$C$29))</f>
        <v>0.27057529436465</v>
      </c>
    </row>
    <row r="34" customFormat="false" ht="15" hidden="false" customHeight="false" outlineLevel="0" collapsed="false">
      <c r="A34" s="10" t="n">
        <v>0.5</v>
      </c>
      <c r="B34" s="26" t="n">
        <f aca="false">پارامترها!$B$6*(1+$A34)</f>
        <v>469707</v>
      </c>
      <c r="C34" s="26" t="n">
        <f aca="false">کالاها!$AE$30*$B34+کالاها!$AF$30</f>
        <v>61343644226.4</v>
      </c>
      <c r="D34" s="26" t="n">
        <f aca="false">کالاها!$AG$30-$C34</f>
        <v>21573355773.6</v>
      </c>
      <c r="E34" s="28" t="n">
        <f aca="false">IF(SUMPRODUCT(کالاها!$U$5:$U$29,کالاها!$C$5:$C$29)=0,0,$D34/SUMPRODUCT(کالاها!$U$5:$U$29,کالاها!$C$5:$C$29))</f>
        <v>0.228950230110564</v>
      </c>
    </row>
    <row r="36" customFormat="false" ht="15" hidden="false" customHeight="false" outlineLevel="0" collapsed="false">
      <c r="A36" s="2" t="s">
        <v>126</v>
      </c>
    </row>
    <row r="37" customFormat="false" ht="15" hidden="false" customHeight="false" outlineLevel="0" collapsed="false">
      <c r="A37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" t="s">
        <v>128</v>
      </c>
    </row>
    <row r="3" customFormat="false" ht="30" hidden="false" customHeight="true" outlineLevel="0" collapsed="false">
      <c r="A3" s="29" t="s">
        <v>129</v>
      </c>
      <c r="B3" s="30" t="s">
        <v>130</v>
      </c>
    </row>
    <row r="4" customFormat="false" ht="30" hidden="false" customHeight="true" outlineLevel="0" collapsed="false">
      <c r="A4" s="29" t="s">
        <v>16</v>
      </c>
      <c r="B4" s="30" t="s">
        <v>131</v>
      </c>
    </row>
    <row r="5" customFormat="false" ht="30" hidden="false" customHeight="true" outlineLevel="0" collapsed="false">
      <c r="A5" s="29" t="s">
        <v>132</v>
      </c>
      <c r="B5" s="30" t="s">
        <v>133</v>
      </c>
    </row>
    <row r="6" customFormat="false" ht="30" hidden="false" customHeight="true" outlineLevel="0" collapsed="false">
      <c r="A6" s="29" t="s">
        <v>134</v>
      </c>
      <c r="B6" s="30" t="s">
        <v>135</v>
      </c>
    </row>
    <row r="7" customFormat="false" ht="30" hidden="false" customHeight="true" outlineLevel="0" collapsed="false">
      <c r="A7" s="29" t="s">
        <v>136</v>
      </c>
      <c r="B7" s="30" t="s">
        <v>137</v>
      </c>
    </row>
    <row r="9" customFormat="false" ht="30" hidden="false" customHeight="true" outlineLevel="0" collapsed="false">
      <c r="A9" s="29" t="s">
        <v>138</v>
      </c>
      <c r="B9" s="30" t="s">
        <v>139</v>
      </c>
    </row>
    <row r="11" customFormat="false" ht="30" hidden="false" customHeight="true" outlineLevel="0" collapsed="false">
      <c r="A11" s="29" t="s">
        <v>140</v>
      </c>
      <c r="B11" s="30" t="s">
        <v>141</v>
      </c>
    </row>
    <row r="12" customFormat="false" ht="30" hidden="false" customHeight="true" outlineLevel="0" collapsed="false">
      <c r="A12" s="29" t="s">
        <v>142</v>
      </c>
      <c r="B12" s="30" t="s">
        <v>143</v>
      </c>
    </row>
    <row r="13" customFormat="false" ht="30" hidden="false" customHeight="true" outlineLevel="0" collapsed="false">
      <c r="A13" s="29" t="s">
        <v>144</v>
      </c>
      <c r="B13" s="30" t="s">
        <v>145</v>
      </c>
    </row>
    <row r="14" customFormat="false" ht="30" hidden="false" customHeight="true" outlineLevel="0" collapsed="false">
      <c r="A14" s="29" t="s">
        <v>146</v>
      </c>
      <c r="B14" s="30" t="s">
        <v>147</v>
      </c>
    </row>
    <row r="15" customFormat="false" ht="30" hidden="false" customHeight="true" outlineLevel="0" collapsed="false">
      <c r="A15" s="29" t="s">
        <v>110</v>
      </c>
      <c r="B15" s="30" t="s">
        <v>148</v>
      </c>
    </row>
    <row r="17" customFormat="false" ht="30" hidden="false" customHeight="true" outlineLevel="0" collapsed="false">
      <c r="A17" s="29" t="s">
        <v>149</v>
      </c>
      <c r="B17" s="3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2026-08-07T20:16:22Z</dcterms:created>
  <dc:creator>openpyxl</dc:creator>
  <dc:description/>
  <dc:language>en-US</dc:language>
  <cp:lastModifiedBy/>
  <dcterms:modified xsi:type="dcterms:W3CDTF">2026-08-07T20:16:22Z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